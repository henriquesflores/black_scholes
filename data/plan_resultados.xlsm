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54ad363d82ba0fc/Documentos/GitHub/padulla/black_scholes/data/"/>
    </mc:Choice>
  </mc:AlternateContent>
  <xr:revisionPtr revIDLastSave="321" documentId="8_{9C54B2B2-78D2-437A-8A04-7A0363C5EDD3}" xr6:coauthVersionLast="46" xr6:coauthVersionMax="46" xr10:uidLastSave="{0F8B9A16-F254-421F-B587-018EC7AD611C}"/>
  <bookViews>
    <workbookView xWindow="32520" yWindow="2250" windowWidth="21600" windowHeight="11505" xr2:uid="{00000000-000D-0000-FFFF-FFFF00000000}"/>
  </bookViews>
  <sheets>
    <sheet name="book" sheetId="1" r:id="rId1"/>
    <sheet name="Gamma" sheetId="3" r:id="rId2"/>
    <sheet name="Delta" sheetId="4" r:id="rId3"/>
    <sheet name="dic" sheetId="2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4" l="1"/>
  <c r="K15" i="4"/>
  <c r="J15" i="4"/>
  <c r="I15" i="4"/>
  <c r="H15" i="4"/>
  <c r="G15" i="4"/>
  <c r="F15" i="4"/>
  <c r="E15" i="4"/>
  <c r="D15" i="4"/>
  <c r="C15" i="4"/>
  <c r="B15" i="4"/>
  <c r="A15" i="4"/>
  <c r="L14" i="4"/>
  <c r="K14" i="4"/>
  <c r="J14" i="4"/>
  <c r="I14" i="4"/>
  <c r="H14" i="4"/>
  <c r="G14" i="4"/>
  <c r="F14" i="4"/>
  <c r="E14" i="4"/>
  <c r="D14" i="4"/>
  <c r="C14" i="4"/>
  <c r="B14" i="4"/>
  <c r="A14" i="4"/>
  <c r="L13" i="4"/>
  <c r="K13" i="4"/>
  <c r="J13" i="4"/>
  <c r="I13" i="4"/>
  <c r="H13" i="4"/>
  <c r="G13" i="4"/>
  <c r="F13" i="4"/>
  <c r="E13" i="4"/>
  <c r="D13" i="4"/>
  <c r="C13" i="4"/>
  <c r="B13" i="4"/>
  <c r="A13" i="4"/>
  <c r="L12" i="4"/>
  <c r="K12" i="4"/>
  <c r="J12" i="4"/>
  <c r="I12" i="4"/>
  <c r="H12" i="4"/>
  <c r="G12" i="4"/>
  <c r="F12" i="4"/>
  <c r="E12" i="4"/>
  <c r="D12" i="4"/>
  <c r="C12" i="4"/>
  <c r="B12" i="4"/>
  <c r="A12" i="4"/>
  <c r="L11" i="4"/>
  <c r="K11" i="4"/>
  <c r="J11" i="4"/>
  <c r="I11" i="4"/>
  <c r="H11" i="4"/>
  <c r="G11" i="4"/>
  <c r="F11" i="4"/>
  <c r="E11" i="4"/>
  <c r="D11" i="4"/>
  <c r="C11" i="4"/>
  <c r="B11" i="4"/>
  <c r="A11" i="4"/>
  <c r="L10" i="4"/>
  <c r="K10" i="4"/>
  <c r="J10" i="4"/>
  <c r="I10" i="4"/>
  <c r="H10" i="4"/>
  <c r="G10" i="4"/>
  <c r="F10" i="4"/>
  <c r="E10" i="4"/>
  <c r="D10" i="4"/>
  <c r="C10" i="4"/>
  <c r="B10" i="4"/>
  <c r="A10" i="4"/>
  <c r="L9" i="4"/>
  <c r="K9" i="4"/>
  <c r="J9" i="4"/>
  <c r="I9" i="4"/>
  <c r="H9" i="4"/>
  <c r="G9" i="4"/>
  <c r="F9" i="4"/>
  <c r="E9" i="4"/>
  <c r="D9" i="4"/>
  <c r="C9" i="4"/>
  <c r="B9" i="4"/>
  <c r="A9" i="4"/>
  <c r="L8" i="4"/>
  <c r="K8" i="4"/>
  <c r="J8" i="4"/>
  <c r="I8" i="4"/>
  <c r="H8" i="4"/>
  <c r="G8" i="4"/>
  <c r="F8" i="4"/>
  <c r="E8" i="4"/>
  <c r="D8" i="4"/>
  <c r="C8" i="4"/>
  <c r="B8" i="4"/>
  <c r="A8" i="4"/>
  <c r="L7" i="4"/>
  <c r="K7" i="4"/>
  <c r="J7" i="4"/>
  <c r="I7" i="4"/>
  <c r="H7" i="4"/>
  <c r="G7" i="4"/>
  <c r="F7" i="4"/>
  <c r="E7" i="4"/>
  <c r="D7" i="4"/>
  <c r="C7" i="4"/>
  <c r="B7" i="4"/>
  <c r="A7" i="4"/>
  <c r="L6" i="4"/>
  <c r="K6" i="4"/>
  <c r="J6" i="4"/>
  <c r="I6" i="4"/>
  <c r="H6" i="4"/>
  <c r="G6" i="4"/>
  <c r="F6" i="4"/>
  <c r="E6" i="4"/>
  <c r="D6" i="4"/>
  <c r="C6" i="4"/>
  <c r="B6" i="4"/>
  <c r="A6" i="4"/>
  <c r="L5" i="4"/>
  <c r="K5" i="4"/>
  <c r="J5" i="4"/>
  <c r="I5" i="4"/>
  <c r="H5" i="4"/>
  <c r="G5" i="4"/>
  <c r="F5" i="4"/>
  <c r="E5" i="4"/>
  <c r="D5" i="4"/>
  <c r="C5" i="4"/>
  <c r="B5" i="4"/>
  <c r="A5" i="4"/>
  <c r="L4" i="4"/>
  <c r="K4" i="4"/>
  <c r="J4" i="4"/>
  <c r="I4" i="4"/>
  <c r="H4" i="4"/>
  <c r="G4" i="4"/>
  <c r="F4" i="4"/>
  <c r="E4" i="4"/>
  <c r="D4" i="4"/>
  <c r="C4" i="4"/>
  <c r="B4" i="4"/>
  <c r="A4" i="4"/>
  <c r="L3" i="4"/>
  <c r="K3" i="4"/>
  <c r="J3" i="4"/>
  <c r="I3" i="4"/>
  <c r="H3" i="4"/>
  <c r="G3" i="4"/>
  <c r="F3" i="4"/>
  <c r="E3" i="4"/>
  <c r="D3" i="4"/>
  <c r="C3" i="4"/>
  <c r="B3" i="4"/>
  <c r="A3" i="4"/>
  <c r="L2" i="4"/>
  <c r="K2" i="4"/>
  <c r="J2" i="4"/>
  <c r="I2" i="4"/>
  <c r="H2" i="4"/>
  <c r="G2" i="4"/>
  <c r="F2" i="4"/>
  <c r="E2" i="4"/>
  <c r="D2" i="4"/>
  <c r="C2" i="4"/>
  <c r="B2" i="4"/>
  <c r="A2" i="4"/>
  <c r="L1" i="4"/>
  <c r="K1" i="4"/>
  <c r="J1" i="4"/>
  <c r="I1" i="4"/>
  <c r="H1" i="4"/>
  <c r="G1" i="4"/>
  <c r="F1" i="4"/>
  <c r="E1" i="4"/>
  <c r="D1" i="4"/>
  <c r="C1" i="4"/>
  <c r="B1" i="4"/>
  <c r="L15" i="3"/>
  <c r="K15" i="3"/>
  <c r="J15" i="3"/>
  <c r="I15" i="3"/>
  <c r="H15" i="3"/>
  <c r="G15" i="3"/>
  <c r="F15" i="3"/>
  <c r="E15" i="3"/>
  <c r="D15" i="3"/>
  <c r="C15" i="3"/>
  <c r="B15" i="3"/>
  <c r="A15" i="3"/>
  <c r="L14" i="3"/>
  <c r="K14" i="3"/>
  <c r="J14" i="3"/>
  <c r="I14" i="3"/>
  <c r="H14" i="3"/>
  <c r="G14" i="3"/>
  <c r="F14" i="3"/>
  <c r="E14" i="3"/>
  <c r="D14" i="3"/>
  <c r="C14" i="3"/>
  <c r="B14" i="3"/>
  <c r="A14" i="3"/>
  <c r="L13" i="3"/>
  <c r="K13" i="3"/>
  <c r="J13" i="3"/>
  <c r="I13" i="3"/>
  <c r="H13" i="3"/>
  <c r="G13" i="3"/>
  <c r="F13" i="3"/>
  <c r="E13" i="3"/>
  <c r="D13" i="3"/>
  <c r="C13" i="3"/>
  <c r="B13" i="3"/>
  <c r="A13" i="3"/>
  <c r="L12" i="3"/>
  <c r="K12" i="3"/>
  <c r="J12" i="3"/>
  <c r="I12" i="3"/>
  <c r="H12" i="3"/>
  <c r="G12" i="3"/>
  <c r="F12" i="3"/>
  <c r="E12" i="3"/>
  <c r="D12" i="3"/>
  <c r="C12" i="3"/>
  <c r="B12" i="3"/>
  <c r="A12" i="3"/>
  <c r="L11" i="3"/>
  <c r="K11" i="3"/>
  <c r="J11" i="3"/>
  <c r="I11" i="3"/>
  <c r="H11" i="3"/>
  <c r="G11" i="3"/>
  <c r="F11" i="3"/>
  <c r="E11" i="3"/>
  <c r="D11" i="3"/>
  <c r="C11" i="3"/>
  <c r="B11" i="3"/>
  <c r="A11" i="3"/>
  <c r="L10" i="3"/>
  <c r="K10" i="3"/>
  <c r="J10" i="3"/>
  <c r="I10" i="3"/>
  <c r="H10" i="3"/>
  <c r="G10" i="3"/>
  <c r="F10" i="3"/>
  <c r="E10" i="3"/>
  <c r="D10" i="3"/>
  <c r="C10" i="3"/>
  <c r="B10" i="3"/>
  <c r="A10" i="3"/>
  <c r="L9" i="3"/>
  <c r="K9" i="3"/>
  <c r="J9" i="3"/>
  <c r="I9" i="3"/>
  <c r="H9" i="3"/>
  <c r="G9" i="3"/>
  <c r="F9" i="3"/>
  <c r="E9" i="3"/>
  <c r="D9" i="3"/>
  <c r="C9" i="3"/>
  <c r="B9" i="3"/>
  <c r="A9" i="3"/>
  <c r="L8" i="3"/>
  <c r="K8" i="3"/>
  <c r="J8" i="3"/>
  <c r="I8" i="3"/>
  <c r="H8" i="3"/>
  <c r="G8" i="3"/>
  <c r="F8" i="3"/>
  <c r="E8" i="3"/>
  <c r="D8" i="3"/>
  <c r="C8" i="3"/>
  <c r="B8" i="3"/>
  <c r="A8" i="3"/>
  <c r="L7" i="3"/>
  <c r="K7" i="3"/>
  <c r="J7" i="3"/>
  <c r="I7" i="3"/>
  <c r="H7" i="3"/>
  <c r="G7" i="3"/>
  <c r="F7" i="3"/>
  <c r="E7" i="3"/>
  <c r="D7" i="3"/>
  <c r="C7" i="3"/>
  <c r="B7" i="3"/>
  <c r="A7" i="3"/>
  <c r="L6" i="3"/>
  <c r="K6" i="3"/>
  <c r="J6" i="3"/>
  <c r="I6" i="3"/>
  <c r="H6" i="3"/>
  <c r="G6" i="3"/>
  <c r="F6" i="3"/>
  <c r="E6" i="3"/>
  <c r="D6" i="3"/>
  <c r="C6" i="3"/>
  <c r="B6" i="3"/>
  <c r="A6" i="3"/>
  <c r="L5" i="3"/>
  <c r="K5" i="3"/>
  <c r="J5" i="3"/>
  <c r="I5" i="3"/>
  <c r="H5" i="3"/>
  <c r="G5" i="3"/>
  <c r="F5" i="3"/>
  <c r="E5" i="3"/>
  <c r="D5" i="3"/>
  <c r="C5" i="3"/>
  <c r="B5" i="3"/>
  <c r="A5" i="3"/>
  <c r="L4" i="3"/>
  <c r="K4" i="3"/>
  <c r="J4" i="3"/>
  <c r="I4" i="3"/>
  <c r="H4" i="3"/>
  <c r="G4" i="3"/>
  <c r="F4" i="3"/>
  <c r="E4" i="3"/>
  <c r="D4" i="3"/>
  <c r="C4" i="3"/>
  <c r="B4" i="3"/>
  <c r="A4" i="3"/>
  <c r="L3" i="3"/>
  <c r="K3" i="3"/>
  <c r="J3" i="3"/>
  <c r="I3" i="3"/>
  <c r="H3" i="3"/>
  <c r="G3" i="3"/>
  <c r="F3" i="3"/>
  <c r="E3" i="3"/>
  <c r="D3" i="3"/>
  <c r="C3" i="3"/>
  <c r="B3" i="3"/>
  <c r="A3" i="3"/>
  <c r="L2" i="3"/>
  <c r="K2" i="3"/>
  <c r="J2" i="3"/>
  <c r="I2" i="3"/>
  <c r="H2" i="3"/>
  <c r="G2" i="3"/>
  <c r="F2" i="3"/>
  <c r="E2" i="3"/>
  <c r="D2" i="3"/>
  <c r="C2" i="3"/>
  <c r="B2" i="3"/>
  <c r="A2" i="3"/>
  <c r="L1" i="3"/>
  <c r="K1" i="3"/>
  <c r="J1" i="3"/>
  <c r="I1" i="3"/>
  <c r="H1" i="3"/>
  <c r="G1" i="3"/>
  <c r="F1" i="3"/>
  <c r="E1" i="3"/>
  <c r="D1" i="3"/>
  <c r="C1" i="3"/>
  <c r="B1" i="3"/>
</calcChain>
</file>

<file path=xl/sharedStrings.xml><?xml version="1.0" encoding="utf-8"?>
<sst xmlns="http://schemas.openxmlformats.org/spreadsheetml/2006/main" count="67" uniqueCount="26">
  <si>
    <t>Put</t>
  </si>
  <si>
    <t>price_date</t>
  </si>
  <si>
    <t>USD/MXN</t>
  </si>
  <si>
    <t>r_d</t>
  </si>
  <si>
    <t>r_f</t>
  </si>
  <si>
    <t>Tipo</t>
  </si>
  <si>
    <t>Call</t>
  </si>
  <si>
    <t>Dir.</t>
  </si>
  <si>
    <t>Sell</t>
  </si>
  <si>
    <t>Buy</t>
  </si>
  <si>
    <t>intervalo</t>
  </si>
  <si>
    <t>Incluir</t>
  </si>
  <si>
    <t>incluir</t>
  </si>
  <si>
    <t>ativo</t>
  </si>
  <si>
    <t>call_put</t>
  </si>
  <si>
    <t>direction</t>
  </si>
  <si>
    <t>tenor</t>
  </si>
  <si>
    <t>expiry</t>
  </si>
  <si>
    <t>delivery</t>
  </si>
  <si>
    <t>spot</t>
  </si>
  <si>
    <t>strike</t>
  </si>
  <si>
    <t>forward</t>
  </si>
  <si>
    <t>notional</t>
  </si>
  <si>
    <t>vol</t>
  </si>
  <si>
    <t>forward_i</t>
  </si>
  <si>
    <t>forward_f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</si>
</sst>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_-;\-* #,##0.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42" applyNumberFormat="1" applyFont="1"/>
    <xf numFmtId="0" fontId="0" fillId="0" borderId="0" xfId="0" applyAlignment="1">
      <alignment horizontal="center"/>
    </xf>
    <xf numFmtId="1" fontId="0" fillId="0" borderId="0" xfId="0" applyNumberFormat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514350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Portfolio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ee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ta"/>
      <sheetName val="Gamma"/>
    </sheetNames>
    <sheetDataSet>
      <sheetData sheetId="0">
        <row r="1">
          <cell r="B1" t="str">
            <v>Delta -10%</v>
          </cell>
          <cell r="C1" t="str">
            <v>Delta -7%</v>
          </cell>
          <cell r="D1" t="str">
            <v>Delta -5%</v>
          </cell>
          <cell r="E1" t="str">
            <v>Delta -2%</v>
          </cell>
          <cell r="F1" t="str">
            <v>Delta -1%</v>
          </cell>
          <cell r="G1" t="str">
            <v>Delta 0%</v>
          </cell>
          <cell r="H1" t="str">
            <v>Delta 1%</v>
          </cell>
          <cell r="I1" t="str">
            <v>Delta 2%</v>
          </cell>
          <cell r="J1" t="str">
            <v>Delta 5%</v>
          </cell>
          <cell r="K1" t="str">
            <v>Delta 7%</v>
          </cell>
          <cell r="L1" t="str">
            <v>Delta 10%</v>
          </cell>
        </row>
        <row r="2">
          <cell r="A2" t="str">
            <v>USD/MXN-Put-Sell</v>
          </cell>
          <cell r="B2">
            <v>49999994.079999998</v>
          </cell>
          <cell r="C2">
            <v>49995794.869999997</v>
          </cell>
          <cell r="D2">
            <v>49890905.530000001</v>
          </cell>
          <cell r="E2">
            <v>46775101.130000003</v>
          </cell>
          <cell r="F2">
            <v>43029234.030000001</v>
          </cell>
          <cell r="G2">
            <v>37143194.469999999</v>
          </cell>
          <cell r="H2">
            <v>29464831.100000001</v>
          </cell>
          <cell r="I2">
            <v>21104957.800000001</v>
          </cell>
          <cell r="J2">
            <v>3754394.55</v>
          </cell>
          <cell r="K2">
            <v>615042.22</v>
          </cell>
          <cell r="L2">
            <v>14938.71</v>
          </cell>
        </row>
        <row r="3">
          <cell r="A3" t="str">
            <v>USD/MXN-Put-Buy</v>
          </cell>
          <cell r="B3">
            <v>-34999995.859999999</v>
          </cell>
          <cell r="C3">
            <v>-34997056.409999996</v>
          </cell>
          <cell r="D3">
            <v>-34923633.869999997</v>
          </cell>
          <cell r="E3">
            <v>-32742570.789999999</v>
          </cell>
          <cell r="F3">
            <v>-30120463.82</v>
          </cell>
          <cell r="G3">
            <v>-26000236.129999999</v>
          </cell>
          <cell r="H3">
            <v>-20625381.77</v>
          </cell>
          <cell r="I3">
            <v>-14773470.460000001</v>
          </cell>
          <cell r="J3">
            <v>-2628076.19</v>
          </cell>
          <cell r="K3">
            <v>-430529.56</v>
          </cell>
          <cell r="L3">
            <v>-10457.1</v>
          </cell>
        </row>
        <row r="4">
          <cell r="A4" t="str">
            <v>USD/MXN-Put-Buy</v>
          </cell>
          <cell r="B4">
            <v>-14999998.220000001</v>
          </cell>
          <cell r="C4">
            <v>-14998738.460000001</v>
          </cell>
          <cell r="D4">
            <v>-14967271.66</v>
          </cell>
          <cell r="E4">
            <v>-14032530.34</v>
          </cell>
          <cell r="F4">
            <v>-12908770.210000001</v>
          </cell>
          <cell r="G4">
            <v>-11142958.34</v>
          </cell>
          <cell r="H4">
            <v>-8839449.3300000001</v>
          </cell>
          <cell r="I4">
            <v>-6331487.3399999999</v>
          </cell>
          <cell r="J4">
            <v>-1126318.3700000001</v>
          </cell>
          <cell r="K4">
            <v>-184512.67</v>
          </cell>
          <cell r="L4">
            <v>-4481.6099999999997</v>
          </cell>
        </row>
        <row r="5">
          <cell r="A5" t="str">
            <v>USD/MXN-Put-Sell</v>
          </cell>
          <cell r="B5">
            <v>24999997.039999999</v>
          </cell>
          <cell r="C5">
            <v>24997897.43</v>
          </cell>
          <cell r="D5">
            <v>24945452.77</v>
          </cell>
          <cell r="E5">
            <v>23387550.57</v>
          </cell>
          <cell r="F5">
            <v>21514617.010000002</v>
          </cell>
          <cell r="G5">
            <v>18571597.239999998</v>
          </cell>
          <cell r="H5">
            <v>14732415.550000001</v>
          </cell>
          <cell r="I5">
            <v>10552478.9</v>
          </cell>
          <cell r="J5">
            <v>1877197.28</v>
          </cell>
          <cell r="K5">
            <v>307521.11</v>
          </cell>
          <cell r="L5">
            <v>7469.36</v>
          </cell>
        </row>
        <row r="6">
          <cell r="A6" t="str">
            <v>USD/MXN-Call-Sell</v>
          </cell>
          <cell r="B6">
            <v>-4.1399999999999997</v>
          </cell>
          <cell r="C6">
            <v>-2943.59</v>
          </cell>
          <cell r="D6">
            <v>-76366.13</v>
          </cell>
          <cell r="E6">
            <v>-2257429.21</v>
          </cell>
          <cell r="F6">
            <v>-4879536.18</v>
          </cell>
          <cell r="G6">
            <v>-8999763.8699999992</v>
          </cell>
          <cell r="H6">
            <v>-14374618.23</v>
          </cell>
          <cell r="I6">
            <v>-20226529.539999999</v>
          </cell>
          <cell r="J6">
            <v>-32371923.809999999</v>
          </cell>
          <cell r="K6">
            <v>-34569470.439999998</v>
          </cell>
          <cell r="L6">
            <v>-34989542.899999999</v>
          </cell>
        </row>
        <row r="7">
          <cell r="A7" t="str">
            <v>USD/MXN-Put-Sell</v>
          </cell>
          <cell r="B7">
            <v>44999994.670000002</v>
          </cell>
          <cell r="C7">
            <v>44996215.380000003</v>
          </cell>
          <cell r="D7">
            <v>44901814.979999997</v>
          </cell>
          <cell r="E7">
            <v>42097591.020000003</v>
          </cell>
          <cell r="F7">
            <v>38726310.630000003</v>
          </cell>
          <cell r="G7">
            <v>33428875.02</v>
          </cell>
          <cell r="H7">
            <v>26518347.989999998</v>
          </cell>
          <cell r="I7">
            <v>18994462.02</v>
          </cell>
          <cell r="J7">
            <v>3378955.1</v>
          </cell>
          <cell r="K7">
            <v>553538</v>
          </cell>
          <cell r="L7">
            <v>13444.84</v>
          </cell>
        </row>
        <row r="8">
          <cell r="A8" t="str">
            <v>USD/MXN-Put-Sell</v>
          </cell>
          <cell r="B8">
            <v>11999998.58</v>
          </cell>
          <cell r="C8">
            <v>11998990.77</v>
          </cell>
          <cell r="D8">
            <v>11973817.33</v>
          </cell>
          <cell r="E8">
            <v>11226024.27</v>
          </cell>
          <cell r="F8">
            <v>10327016.17</v>
          </cell>
          <cell r="G8">
            <v>8914366.6699999999</v>
          </cell>
          <cell r="H8">
            <v>7071559.46</v>
          </cell>
          <cell r="I8">
            <v>5065189.87</v>
          </cell>
          <cell r="J8">
            <v>901054.69</v>
          </cell>
          <cell r="K8">
            <v>147610.13</v>
          </cell>
          <cell r="L8">
            <v>3585.29</v>
          </cell>
        </row>
        <row r="9">
          <cell r="A9" t="str">
            <v>USD/MXN-Put-Sell</v>
          </cell>
          <cell r="B9">
            <v>20428569.010000002</v>
          </cell>
          <cell r="C9">
            <v>20426853.329999998</v>
          </cell>
          <cell r="D9">
            <v>20383998.550000001</v>
          </cell>
          <cell r="E9">
            <v>19110969.890000001</v>
          </cell>
          <cell r="F9">
            <v>17580515.620000001</v>
          </cell>
          <cell r="G9">
            <v>15175648.029999999</v>
          </cell>
          <cell r="H9">
            <v>12038488.140000001</v>
          </cell>
          <cell r="I9">
            <v>8622882.7599999998</v>
          </cell>
          <cell r="J9">
            <v>1533938.35</v>
          </cell>
          <cell r="K9">
            <v>251288.68</v>
          </cell>
          <cell r="L9">
            <v>6103.53</v>
          </cell>
        </row>
        <row r="10">
          <cell r="A10" t="str">
            <v>USD/MXN-Call-Sell</v>
          </cell>
          <cell r="B10">
            <v>-2.11</v>
          </cell>
          <cell r="C10">
            <v>-1495.83</v>
          </cell>
          <cell r="D10">
            <v>-38806.46</v>
          </cell>
          <cell r="E10">
            <v>-1147142.6000000001</v>
          </cell>
          <cell r="F10">
            <v>-2479601.04</v>
          </cell>
          <cell r="G10">
            <v>-4573349.4000000004</v>
          </cell>
          <cell r="H10">
            <v>-7304652.9400000004</v>
          </cell>
          <cell r="I10">
            <v>-10278379.300000001</v>
          </cell>
          <cell r="J10">
            <v>-16450222.51</v>
          </cell>
          <cell r="K10">
            <v>-17566934.98</v>
          </cell>
          <cell r="L10">
            <v>-17780400.370000001</v>
          </cell>
        </row>
        <row r="11">
          <cell r="A11" t="str">
            <v>USD/MXN-Put-Sell</v>
          </cell>
          <cell r="B11">
            <v>15142855.35</v>
          </cell>
          <cell r="C11">
            <v>15141583.59</v>
          </cell>
          <cell r="D11">
            <v>15109817.1</v>
          </cell>
          <cell r="E11">
            <v>14166173.49</v>
          </cell>
          <cell r="F11">
            <v>13031710.880000001</v>
          </cell>
          <cell r="G11">
            <v>11249081.75</v>
          </cell>
          <cell r="H11">
            <v>8923634.5600000005</v>
          </cell>
          <cell r="I11">
            <v>6391787.2199999997</v>
          </cell>
          <cell r="J11">
            <v>1137045.21</v>
          </cell>
          <cell r="K11">
            <v>186269.93</v>
          </cell>
          <cell r="L11">
            <v>4524.3</v>
          </cell>
        </row>
        <row r="12">
          <cell r="A12" t="str">
            <v>USD/MXN-Put-Sell</v>
          </cell>
          <cell r="B12">
            <v>12499998.52</v>
          </cell>
          <cell r="C12">
            <v>12498948.720000001</v>
          </cell>
          <cell r="D12">
            <v>12472726.380000001</v>
          </cell>
          <cell r="E12">
            <v>11693775.279999999</v>
          </cell>
          <cell r="F12">
            <v>10757308.51</v>
          </cell>
          <cell r="G12">
            <v>9285798.6199999992</v>
          </cell>
          <cell r="H12">
            <v>7366207.7800000003</v>
          </cell>
          <cell r="I12">
            <v>5276239.45</v>
          </cell>
          <cell r="J12">
            <v>938598.64</v>
          </cell>
          <cell r="K12">
            <v>153760.56</v>
          </cell>
          <cell r="L12">
            <v>3734.68</v>
          </cell>
        </row>
        <row r="13">
          <cell r="A13" t="str">
            <v>USD/MXN-Put-Sell</v>
          </cell>
          <cell r="B13">
            <v>9857141.6899999995</v>
          </cell>
          <cell r="C13">
            <v>9856313.8499999996</v>
          </cell>
          <cell r="D13">
            <v>9835635.6600000001</v>
          </cell>
          <cell r="E13">
            <v>9221377.0800000001</v>
          </cell>
          <cell r="F13">
            <v>8482906.1400000006</v>
          </cell>
          <cell r="G13">
            <v>7322515.4800000004</v>
          </cell>
          <cell r="H13">
            <v>5808780.9900000002</v>
          </cell>
          <cell r="I13">
            <v>4160691.68</v>
          </cell>
          <cell r="J13">
            <v>740152.07</v>
          </cell>
          <cell r="K13">
            <v>121251.18</v>
          </cell>
          <cell r="L13">
            <v>2945.06</v>
          </cell>
        </row>
        <row r="14">
          <cell r="A14" t="str">
            <v>USD/MXN-Put-Sell</v>
          </cell>
          <cell r="B14">
            <v>7214284.8600000003</v>
          </cell>
          <cell r="C14">
            <v>7213678.9699999997</v>
          </cell>
          <cell r="D14">
            <v>7198544.9400000004</v>
          </cell>
          <cell r="E14">
            <v>6748978.8799999999</v>
          </cell>
          <cell r="F14">
            <v>6208503.7699999996</v>
          </cell>
          <cell r="G14">
            <v>5359232.3499999996</v>
          </cell>
          <cell r="H14">
            <v>4251354.2</v>
          </cell>
          <cell r="I14">
            <v>3045143.91</v>
          </cell>
          <cell r="J14">
            <v>541705.5</v>
          </cell>
          <cell r="K14">
            <v>88741.81</v>
          </cell>
          <cell r="L14">
            <v>2155.44</v>
          </cell>
        </row>
        <row r="15">
          <cell r="A15" t="str">
            <v>USD/MXN-Put-Sell</v>
          </cell>
          <cell r="B15">
            <v>4571428.03</v>
          </cell>
          <cell r="C15">
            <v>4571044.0999999996</v>
          </cell>
          <cell r="D15">
            <v>4561454.22</v>
          </cell>
          <cell r="E15">
            <v>4276580.68</v>
          </cell>
          <cell r="F15">
            <v>3934101.4</v>
          </cell>
          <cell r="G15">
            <v>3395949.21</v>
          </cell>
          <cell r="H15">
            <v>2693927.41</v>
          </cell>
          <cell r="I15">
            <v>1929596.14</v>
          </cell>
          <cell r="J15">
            <v>343258.93</v>
          </cell>
          <cell r="K15">
            <v>56232.43</v>
          </cell>
          <cell r="L15">
            <v>1365.83</v>
          </cell>
        </row>
      </sheetData>
      <sheetData sheetId="1">
        <row r="1">
          <cell r="B1" t="str">
            <v>Gamma -10%</v>
          </cell>
          <cell r="C1" t="str">
            <v>Gamma -7%</v>
          </cell>
          <cell r="D1" t="str">
            <v>Gamma -5%</v>
          </cell>
          <cell r="E1" t="str">
            <v>Gamma -2%</v>
          </cell>
          <cell r="F1" t="str">
            <v>Gamma -1%</v>
          </cell>
          <cell r="G1" t="str">
            <v>Gamma 0%</v>
          </cell>
          <cell r="H1" t="str">
            <v>Gamma 1%</v>
          </cell>
          <cell r="I1" t="str">
            <v>Gamma 2%</v>
          </cell>
          <cell r="J1" t="str">
            <v>Gamma 5%</v>
          </cell>
          <cell r="K1" t="str">
            <v>Gamma 7%</v>
          </cell>
          <cell r="L1" t="str">
            <v>Gamma 10%</v>
          </cell>
        </row>
        <row r="2">
          <cell r="A2" t="str">
            <v>USD/MXN-Put-Sell</v>
          </cell>
          <cell r="B2">
            <v>-13.57</v>
          </cell>
          <cell r="C2">
            <v>-7208.69</v>
          </cell>
          <cell r="D2">
            <v>-147032.15</v>
          </cell>
          <cell r="E2">
            <v>-2700840.83</v>
          </cell>
          <cell r="F2">
            <v>-4756185.1900000004</v>
          </cell>
          <cell r="G2">
            <v>-6911273.0700000003</v>
          </cell>
          <cell r="H2">
            <v>-8334119.2699999996</v>
          </cell>
          <cell r="I2">
            <v>-8385675.3700000001</v>
          </cell>
          <cell r="J2">
            <v>-3036191.68</v>
          </cell>
          <cell r="K2">
            <v>-683849.56</v>
          </cell>
          <cell r="L2">
            <v>-23612.87</v>
          </cell>
        </row>
        <row r="3">
          <cell r="A3" t="str">
            <v>USD/MXN-Put-Buy</v>
          </cell>
          <cell r="B3">
            <v>9.5</v>
          </cell>
          <cell r="C3">
            <v>5046.09</v>
          </cell>
          <cell r="D3">
            <v>102922.51</v>
          </cell>
          <cell r="E3">
            <v>1890588.58</v>
          </cell>
          <cell r="F3">
            <v>3329329.64</v>
          </cell>
          <cell r="G3">
            <v>4837891.1500000004</v>
          </cell>
          <cell r="H3">
            <v>5833883.4900000002</v>
          </cell>
          <cell r="I3">
            <v>5869972.7599999998</v>
          </cell>
          <cell r="J3">
            <v>2125334.1800000002</v>
          </cell>
          <cell r="K3">
            <v>478694.69</v>
          </cell>
          <cell r="L3">
            <v>16529.009999999998</v>
          </cell>
        </row>
        <row r="4">
          <cell r="A4" t="str">
            <v>USD/MXN-Put-Buy</v>
          </cell>
          <cell r="B4">
            <v>4.07</v>
          </cell>
          <cell r="C4">
            <v>2162.61</v>
          </cell>
          <cell r="D4">
            <v>44109.65</v>
          </cell>
          <cell r="E4">
            <v>810252.25</v>
          </cell>
          <cell r="F4">
            <v>1426855.56</v>
          </cell>
          <cell r="G4">
            <v>2073381.92</v>
          </cell>
          <cell r="H4">
            <v>2500235.7799999998</v>
          </cell>
          <cell r="I4">
            <v>2515702.61</v>
          </cell>
          <cell r="J4">
            <v>910857.5</v>
          </cell>
          <cell r="K4">
            <v>205154.87</v>
          </cell>
          <cell r="L4">
            <v>7083.86</v>
          </cell>
        </row>
        <row r="5">
          <cell r="A5" t="str">
            <v>USD/MXN-Put-Sell</v>
          </cell>
          <cell r="B5">
            <v>-6.79</v>
          </cell>
          <cell r="C5">
            <v>-3604.35</v>
          </cell>
          <cell r="D5">
            <v>-73516.08</v>
          </cell>
          <cell r="E5">
            <v>-1350420.42</v>
          </cell>
          <cell r="F5">
            <v>-2378092.6</v>
          </cell>
          <cell r="G5">
            <v>-3455636.53</v>
          </cell>
          <cell r="H5">
            <v>-4167059.63</v>
          </cell>
          <cell r="I5">
            <v>-4192837.69</v>
          </cell>
          <cell r="J5">
            <v>-1518095.84</v>
          </cell>
          <cell r="K5">
            <v>-341924.78</v>
          </cell>
          <cell r="L5">
            <v>-11806.44</v>
          </cell>
        </row>
        <row r="6">
          <cell r="A6" t="str">
            <v>USD/MXN-Call-Sell</v>
          </cell>
          <cell r="B6">
            <v>-9.5</v>
          </cell>
          <cell r="C6">
            <v>-5046.09</v>
          </cell>
          <cell r="D6">
            <v>-102922.51</v>
          </cell>
          <cell r="E6">
            <v>-1890588.58</v>
          </cell>
          <cell r="F6">
            <v>-3329329.64</v>
          </cell>
          <cell r="G6">
            <v>-4837891.1500000004</v>
          </cell>
          <cell r="H6">
            <v>-5833883.4900000002</v>
          </cell>
          <cell r="I6">
            <v>-5869972.7599999998</v>
          </cell>
          <cell r="J6">
            <v>-2125334.1800000002</v>
          </cell>
          <cell r="K6">
            <v>-478694.69</v>
          </cell>
          <cell r="L6">
            <v>-16529.009999999998</v>
          </cell>
        </row>
        <row r="7">
          <cell r="A7" t="str">
            <v>USD/MXN-Put-Sell</v>
          </cell>
          <cell r="B7">
            <v>-12.21</v>
          </cell>
          <cell r="C7">
            <v>-6487.82</v>
          </cell>
          <cell r="D7">
            <v>-132328.94</v>
          </cell>
          <cell r="E7">
            <v>-2430756.75</v>
          </cell>
          <cell r="F7">
            <v>-4280566.67</v>
          </cell>
          <cell r="G7">
            <v>-6220145.7599999998</v>
          </cell>
          <cell r="H7">
            <v>-7500707.3399999999</v>
          </cell>
          <cell r="I7">
            <v>-7547107.8300000001</v>
          </cell>
          <cell r="J7">
            <v>-2732572.51</v>
          </cell>
          <cell r="K7">
            <v>-615464.61</v>
          </cell>
          <cell r="L7">
            <v>-21251.59</v>
          </cell>
        </row>
        <row r="8">
          <cell r="A8" t="str">
            <v>USD/MXN-Put-Sell</v>
          </cell>
          <cell r="B8">
            <v>-3.26</v>
          </cell>
          <cell r="C8">
            <v>-1730.09</v>
          </cell>
          <cell r="D8">
            <v>-35287.72</v>
          </cell>
          <cell r="E8">
            <v>-648201.80000000005</v>
          </cell>
          <cell r="F8">
            <v>-1141484.45</v>
          </cell>
          <cell r="G8">
            <v>-1658705.54</v>
          </cell>
          <cell r="H8">
            <v>-2000188.62</v>
          </cell>
          <cell r="I8">
            <v>-2012562.09</v>
          </cell>
          <cell r="J8">
            <v>-728686</v>
          </cell>
          <cell r="K8">
            <v>-164123.89000000001</v>
          </cell>
          <cell r="L8">
            <v>-5667.09</v>
          </cell>
        </row>
        <row r="9">
          <cell r="A9" t="str">
            <v>USD/MXN-Put-Sell</v>
          </cell>
          <cell r="B9">
            <v>-5.54</v>
          </cell>
          <cell r="C9">
            <v>-2945.27</v>
          </cell>
          <cell r="D9">
            <v>-60073.14</v>
          </cell>
          <cell r="E9">
            <v>-1103486.3999999999</v>
          </cell>
          <cell r="F9">
            <v>-1943241.38</v>
          </cell>
          <cell r="G9">
            <v>-2823748.71</v>
          </cell>
          <cell r="H9">
            <v>-3405083.01</v>
          </cell>
          <cell r="I9">
            <v>-3426147.37</v>
          </cell>
          <cell r="J9">
            <v>-1240501.17</v>
          </cell>
          <cell r="K9">
            <v>-279401.39</v>
          </cell>
          <cell r="L9">
            <v>-9647.5499999999993</v>
          </cell>
        </row>
        <row r="10">
          <cell r="A10" t="str">
            <v>USD/MXN-Call-Sell</v>
          </cell>
          <cell r="B10">
            <v>-4.83</v>
          </cell>
          <cell r="C10">
            <v>-2564.2399999999998</v>
          </cell>
          <cell r="D10">
            <v>-52301.440000000002</v>
          </cell>
          <cell r="E10">
            <v>-960727.67</v>
          </cell>
          <cell r="F10">
            <v>-1691843.02</v>
          </cell>
          <cell r="G10">
            <v>-2458438.56</v>
          </cell>
          <cell r="H10">
            <v>-2964565.28</v>
          </cell>
          <cell r="I10">
            <v>-2982904.52</v>
          </cell>
          <cell r="J10">
            <v>-1080016.75</v>
          </cell>
          <cell r="K10">
            <v>-243255.06</v>
          </cell>
          <cell r="L10">
            <v>-8399.44</v>
          </cell>
        </row>
        <row r="11">
          <cell r="A11" t="str">
            <v>USD/MXN-Put-Sell</v>
          </cell>
          <cell r="B11">
            <v>-4.1100000000000003</v>
          </cell>
          <cell r="C11">
            <v>-2183.1999999999998</v>
          </cell>
          <cell r="D11">
            <v>-44529.74</v>
          </cell>
          <cell r="E11">
            <v>-817968.94</v>
          </cell>
          <cell r="F11">
            <v>-1440444.66</v>
          </cell>
          <cell r="G11">
            <v>-2093128.42</v>
          </cell>
          <cell r="H11">
            <v>-2524047.5499999998</v>
          </cell>
          <cell r="I11">
            <v>-2539661.6800000002</v>
          </cell>
          <cell r="J11">
            <v>-919532.34</v>
          </cell>
          <cell r="K11">
            <v>-207108.72</v>
          </cell>
          <cell r="L11">
            <v>-7151.33</v>
          </cell>
        </row>
        <row r="12">
          <cell r="A12" t="str">
            <v>USD/MXN-Put-Sell</v>
          </cell>
          <cell r="B12">
            <v>-3.39</v>
          </cell>
          <cell r="C12">
            <v>-1802.17</v>
          </cell>
          <cell r="D12">
            <v>-36758.04</v>
          </cell>
          <cell r="E12">
            <v>-675210.21</v>
          </cell>
          <cell r="F12">
            <v>-1189046.3</v>
          </cell>
          <cell r="G12">
            <v>-1727818.27</v>
          </cell>
          <cell r="H12">
            <v>-2083529.82</v>
          </cell>
          <cell r="I12">
            <v>-2096418.84</v>
          </cell>
          <cell r="J12">
            <v>-759047.92</v>
          </cell>
          <cell r="K12">
            <v>-170962.39</v>
          </cell>
          <cell r="L12">
            <v>-5903.22</v>
          </cell>
        </row>
        <row r="13">
          <cell r="A13" t="str">
            <v>USD/MXN-Put-Sell</v>
          </cell>
          <cell r="B13">
            <v>-2.68</v>
          </cell>
          <cell r="C13">
            <v>-1421.14</v>
          </cell>
          <cell r="D13">
            <v>-28986.34</v>
          </cell>
          <cell r="E13">
            <v>-532451.48</v>
          </cell>
          <cell r="F13">
            <v>-937647.94</v>
          </cell>
          <cell r="G13">
            <v>-1362508.12</v>
          </cell>
          <cell r="H13">
            <v>-1643012.08</v>
          </cell>
          <cell r="I13">
            <v>-1653176</v>
          </cell>
          <cell r="J13">
            <v>-598563.5</v>
          </cell>
          <cell r="K13">
            <v>-134816.06</v>
          </cell>
          <cell r="L13">
            <v>-4655.1099999999997</v>
          </cell>
        </row>
        <row r="14">
          <cell r="A14" t="str">
            <v>USD/MXN-Put-Sell</v>
          </cell>
          <cell r="B14">
            <v>-1.96</v>
          </cell>
          <cell r="C14">
            <v>-1040.1099999999999</v>
          </cell>
          <cell r="D14">
            <v>-21214.639999999999</v>
          </cell>
          <cell r="E14">
            <v>-389692.75</v>
          </cell>
          <cell r="F14">
            <v>-686249.58</v>
          </cell>
          <cell r="G14">
            <v>-997197.97</v>
          </cell>
          <cell r="H14">
            <v>-1202494.3500000001</v>
          </cell>
          <cell r="I14">
            <v>-1209933.1599999999</v>
          </cell>
          <cell r="J14">
            <v>-438079.09</v>
          </cell>
          <cell r="K14">
            <v>-98669.72</v>
          </cell>
          <cell r="L14">
            <v>-3407</v>
          </cell>
        </row>
        <row r="15">
          <cell r="A15" t="str">
            <v>USD/MXN-Put-Sell</v>
          </cell>
          <cell r="B15">
            <v>-1.24</v>
          </cell>
          <cell r="C15">
            <v>-659.08</v>
          </cell>
          <cell r="D15">
            <v>-13442.94</v>
          </cell>
          <cell r="E15">
            <v>-246934.02</v>
          </cell>
          <cell r="F15">
            <v>-434851.22</v>
          </cell>
          <cell r="G15">
            <v>-631887.81999999995</v>
          </cell>
          <cell r="H15">
            <v>-761976.62</v>
          </cell>
          <cell r="I15">
            <v>-766690.32</v>
          </cell>
          <cell r="J15">
            <v>-277594.67</v>
          </cell>
          <cell r="K15">
            <v>-62523.39</v>
          </cell>
          <cell r="L15">
            <v>-2158.89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5:R21"/>
  <sheetViews>
    <sheetView tabSelected="1" workbookViewId="0">
      <selection activeCell="A6" sqref="A6"/>
    </sheetView>
  </sheetViews>
  <sheetFormatPr defaultRowHeight="15" x14ac:dyDescent="0.25"/>
  <cols>
    <col min="2" max="2" width="8.140625" bestFit="1" customWidth="1"/>
    <col min="3" max="3" width="10.7109375" bestFit="1" customWidth="1"/>
    <col min="4" max="4" width="10.7109375" customWidth="1"/>
    <col min="5" max="8" width="10.7109375" bestFit="1" customWidth="1"/>
    <col min="10" max="10" width="16.28515625" bestFit="1" customWidth="1"/>
    <col min="11" max="11" width="14.28515625" bestFit="1" customWidth="1"/>
    <col min="12" max="12" width="9" bestFit="1" customWidth="1"/>
    <col min="14" max="14" width="9.7109375" bestFit="1" customWidth="1"/>
    <col min="16" max="16" width="10.42578125" customWidth="1"/>
    <col min="17" max="18" width="12.140625" customWidth="1"/>
  </cols>
  <sheetData>
    <row r="5" spans="1:18" x14ac:dyDescent="0.25">
      <c r="P5" s="5"/>
      <c r="Q5" s="5"/>
      <c r="R5" s="5"/>
    </row>
    <row r="6" spans="1:18" x14ac:dyDescent="0.25">
      <c r="A6" t="s">
        <v>12</v>
      </c>
      <c r="B6" t="s">
        <v>13</v>
      </c>
      <c r="C6" t="s">
        <v>14</v>
      </c>
      <c r="D6" t="s">
        <v>15</v>
      </c>
      <c r="E6" t="s">
        <v>1</v>
      </c>
      <c r="F6" t="s">
        <v>16</v>
      </c>
      <c r="G6" t="s">
        <v>17</v>
      </c>
      <c r="H6" t="s">
        <v>18</v>
      </c>
      <c r="I6" t="s">
        <v>19</v>
      </c>
      <c r="J6" t="s">
        <v>20</v>
      </c>
      <c r="K6" t="s">
        <v>21</v>
      </c>
      <c r="L6" t="s">
        <v>22</v>
      </c>
      <c r="M6" t="s">
        <v>23</v>
      </c>
      <c r="N6" t="s">
        <v>3</v>
      </c>
      <c r="O6" t="s">
        <v>4</v>
      </c>
      <c r="P6" s="5" t="s">
        <v>24</v>
      </c>
      <c r="Q6" s="5" t="s">
        <v>25</v>
      </c>
      <c r="R6" s="5" t="s">
        <v>10</v>
      </c>
    </row>
    <row r="7" spans="1:18" x14ac:dyDescent="0.25">
      <c r="A7">
        <v>1</v>
      </c>
      <c r="B7" t="s">
        <v>2</v>
      </c>
      <c r="C7" t="s">
        <v>0</v>
      </c>
      <c r="D7" t="s">
        <v>8</v>
      </c>
      <c r="E7" s="1">
        <v>44295</v>
      </c>
      <c r="F7">
        <v>12</v>
      </c>
      <c r="G7" s="1">
        <v>44307</v>
      </c>
      <c r="H7" s="1">
        <v>44309</v>
      </c>
      <c r="I7">
        <v>20.159400000000002</v>
      </c>
      <c r="J7">
        <v>20.5</v>
      </c>
      <c r="K7">
        <v>20.180900000000001</v>
      </c>
      <c r="L7" s="6">
        <v>50000000</v>
      </c>
      <c r="M7">
        <v>0.12867999999999999</v>
      </c>
      <c r="N7" s="2">
        <v>3.8469999999999997E-2</v>
      </c>
      <c r="O7">
        <v>0</v>
      </c>
      <c r="P7" s="5"/>
      <c r="Q7" s="5"/>
      <c r="R7" s="5"/>
    </row>
    <row r="8" spans="1:18" x14ac:dyDescent="0.25">
      <c r="A8">
        <v>1</v>
      </c>
      <c r="B8" t="s">
        <v>2</v>
      </c>
      <c r="C8" t="s">
        <v>0</v>
      </c>
      <c r="D8" t="s">
        <v>9</v>
      </c>
      <c r="E8" s="1">
        <v>44295</v>
      </c>
      <c r="F8">
        <v>12</v>
      </c>
      <c r="G8" s="1">
        <v>44307</v>
      </c>
      <c r="H8" s="1">
        <v>44309</v>
      </c>
      <c r="I8">
        <v>20.159400000000002</v>
      </c>
      <c r="J8">
        <v>20.5</v>
      </c>
      <c r="K8">
        <v>20.180900000000001</v>
      </c>
      <c r="L8" s="6">
        <v>35000000</v>
      </c>
      <c r="M8">
        <v>0.12867999999999999</v>
      </c>
      <c r="N8" s="2">
        <v>3.8469999999999997E-2</v>
      </c>
      <c r="O8">
        <v>0</v>
      </c>
      <c r="P8" s="5"/>
      <c r="Q8" s="5"/>
      <c r="R8" s="5"/>
    </row>
    <row r="9" spans="1:18" x14ac:dyDescent="0.25">
      <c r="A9">
        <v>1</v>
      </c>
      <c r="B9" t="s">
        <v>2</v>
      </c>
      <c r="C9" t="s">
        <v>0</v>
      </c>
      <c r="D9" t="s">
        <v>9</v>
      </c>
      <c r="E9" s="1">
        <v>44295</v>
      </c>
      <c r="F9">
        <v>12</v>
      </c>
      <c r="G9" s="1">
        <v>44307</v>
      </c>
      <c r="H9" s="1">
        <v>44309</v>
      </c>
      <c r="I9">
        <v>20.159400000000002</v>
      </c>
      <c r="J9">
        <v>20.5</v>
      </c>
      <c r="K9">
        <v>20.180900000000001</v>
      </c>
      <c r="L9" s="6">
        <v>15000000</v>
      </c>
      <c r="M9">
        <v>0.12867999999999999</v>
      </c>
      <c r="N9" s="2">
        <v>3.8469999999999997E-2</v>
      </c>
      <c r="O9">
        <v>0</v>
      </c>
      <c r="P9" s="5"/>
      <c r="Q9" s="5"/>
      <c r="R9" s="5"/>
    </row>
    <row r="10" spans="1:18" x14ac:dyDescent="0.25">
      <c r="A10">
        <v>1</v>
      </c>
      <c r="B10" t="s">
        <v>2</v>
      </c>
      <c r="C10" t="s">
        <v>0</v>
      </c>
      <c r="D10" t="s">
        <v>8</v>
      </c>
      <c r="E10" s="1">
        <v>44295</v>
      </c>
      <c r="F10">
        <v>12</v>
      </c>
      <c r="G10" s="1">
        <v>44307</v>
      </c>
      <c r="H10" s="1">
        <v>44309</v>
      </c>
      <c r="I10">
        <v>20.159400000000002</v>
      </c>
      <c r="J10">
        <v>20.5</v>
      </c>
      <c r="K10">
        <v>20.180900000000001</v>
      </c>
      <c r="L10" s="6">
        <v>25000000</v>
      </c>
      <c r="M10">
        <v>0.12867999999999999</v>
      </c>
      <c r="N10" s="2">
        <v>3.8469999999999997E-2</v>
      </c>
      <c r="O10">
        <v>0</v>
      </c>
      <c r="P10" s="5"/>
      <c r="Q10" s="5"/>
      <c r="R10" s="5"/>
    </row>
    <row r="11" spans="1:18" x14ac:dyDescent="0.25">
      <c r="A11">
        <v>1</v>
      </c>
      <c r="B11" t="s">
        <v>2</v>
      </c>
      <c r="C11" t="s">
        <v>6</v>
      </c>
      <c r="D11" t="s">
        <v>8</v>
      </c>
      <c r="E11" s="1">
        <v>44295</v>
      </c>
      <c r="F11">
        <v>12</v>
      </c>
      <c r="G11" s="1">
        <v>44307</v>
      </c>
      <c r="H11" s="1">
        <v>44309</v>
      </c>
      <c r="I11">
        <v>20.159400000000002</v>
      </c>
      <c r="J11">
        <v>20.5</v>
      </c>
      <c r="K11">
        <v>20.180900000000001</v>
      </c>
      <c r="L11" s="6">
        <v>35000000</v>
      </c>
      <c r="M11">
        <v>0.12867999999999999</v>
      </c>
      <c r="N11" s="2">
        <v>3.8469999999999997E-2</v>
      </c>
      <c r="O11">
        <v>0</v>
      </c>
      <c r="P11" s="5"/>
      <c r="Q11" s="5"/>
      <c r="R11" s="5"/>
    </row>
    <row r="12" spans="1:18" x14ac:dyDescent="0.25">
      <c r="A12">
        <v>1</v>
      </c>
      <c r="B12" t="s">
        <v>2</v>
      </c>
      <c r="C12" t="s">
        <v>0</v>
      </c>
      <c r="D12" t="s">
        <v>8</v>
      </c>
      <c r="E12" s="1">
        <v>44295</v>
      </c>
      <c r="F12">
        <v>12</v>
      </c>
      <c r="G12" s="1">
        <v>44307</v>
      </c>
      <c r="H12" s="1">
        <v>44309</v>
      </c>
      <c r="I12">
        <v>20.159400000000002</v>
      </c>
      <c r="J12">
        <v>20.5</v>
      </c>
      <c r="K12">
        <v>20.180900000000001</v>
      </c>
      <c r="L12" s="6">
        <v>45000000</v>
      </c>
      <c r="M12">
        <v>0.12867999999999999</v>
      </c>
      <c r="N12" s="2">
        <v>3.8469999999999997E-2</v>
      </c>
      <c r="O12">
        <v>0</v>
      </c>
      <c r="P12" s="5"/>
      <c r="Q12" s="5"/>
      <c r="R12" s="5"/>
    </row>
    <row r="13" spans="1:18" x14ac:dyDescent="0.25">
      <c r="A13">
        <v>1</v>
      </c>
      <c r="B13" t="s">
        <v>2</v>
      </c>
      <c r="C13" t="s">
        <v>0</v>
      </c>
      <c r="D13" t="s">
        <v>8</v>
      </c>
      <c r="E13" s="1">
        <v>44295</v>
      </c>
      <c r="F13">
        <v>12</v>
      </c>
      <c r="G13" s="1">
        <v>44307</v>
      </c>
      <c r="H13" s="1">
        <v>44309</v>
      </c>
      <c r="I13">
        <v>20.159400000000002</v>
      </c>
      <c r="J13">
        <v>20.5</v>
      </c>
      <c r="K13">
        <v>20.180900000000001</v>
      </c>
      <c r="L13" s="6">
        <v>12000000</v>
      </c>
      <c r="M13">
        <v>0.12867999999999999</v>
      </c>
      <c r="N13" s="2">
        <v>3.8469999999999997E-2</v>
      </c>
      <c r="O13">
        <v>0</v>
      </c>
      <c r="P13" s="5"/>
      <c r="Q13" s="5"/>
      <c r="R13" s="5"/>
    </row>
    <row r="14" spans="1:18" x14ac:dyDescent="0.25">
      <c r="A14">
        <v>1</v>
      </c>
      <c r="B14" t="s">
        <v>2</v>
      </c>
      <c r="C14" t="s">
        <v>0</v>
      </c>
      <c r="D14" t="s">
        <v>8</v>
      </c>
      <c r="E14" s="1">
        <v>44295</v>
      </c>
      <c r="F14">
        <v>12</v>
      </c>
      <c r="G14" s="1">
        <v>44307</v>
      </c>
      <c r="H14" s="1">
        <v>44309</v>
      </c>
      <c r="I14">
        <v>20.159400000000002</v>
      </c>
      <c r="J14">
        <v>20.5</v>
      </c>
      <c r="K14">
        <v>20.180900000000001</v>
      </c>
      <c r="L14" s="6">
        <v>20428571.428571399</v>
      </c>
      <c r="M14">
        <v>0.12867999999999999</v>
      </c>
      <c r="N14" s="2">
        <v>3.8469999999999997E-2</v>
      </c>
      <c r="O14">
        <v>0</v>
      </c>
      <c r="P14" s="5"/>
      <c r="Q14" s="5"/>
      <c r="R14" s="5"/>
    </row>
    <row r="15" spans="1:18" x14ac:dyDescent="0.25">
      <c r="A15">
        <v>1</v>
      </c>
      <c r="B15" t="s">
        <v>2</v>
      </c>
      <c r="C15" t="s">
        <v>6</v>
      </c>
      <c r="D15" t="s">
        <v>8</v>
      </c>
      <c r="E15" s="1">
        <v>44295</v>
      </c>
      <c r="F15">
        <v>12</v>
      </c>
      <c r="G15" s="1">
        <v>44307</v>
      </c>
      <c r="H15" s="1">
        <v>44309</v>
      </c>
      <c r="I15">
        <v>20.159400000000002</v>
      </c>
      <c r="J15">
        <v>20.5</v>
      </c>
      <c r="K15">
        <v>20.180900000000001</v>
      </c>
      <c r="L15" s="6">
        <v>17785714.285714298</v>
      </c>
      <c r="M15" s="3">
        <v>0.12867999999999999</v>
      </c>
      <c r="N15" s="2">
        <v>3.8469999999999997E-2</v>
      </c>
      <c r="O15">
        <v>0</v>
      </c>
      <c r="P15" s="5"/>
      <c r="Q15" s="5"/>
      <c r="R15" s="5"/>
    </row>
    <row r="16" spans="1:18" x14ac:dyDescent="0.25">
      <c r="A16">
        <v>1</v>
      </c>
      <c r="B16" t="s">
        <v>2</v>
      </c>
      <c r="C16" t="s">
        <v>0</v>
      </c>
      <c r="D16" t="s">
        <v>8</v>
      </c>
      <c r="E16" s="1">
        <v>44295</v>
      </c>
      <c r="F16">
        <v>12</v>
      </c>
      <c r="G16" s="1">
        <v>44307</v>
      </c>
      <c r="H16" s="1">
        <v>44309</v>
      </c>
      <c r="I16">
        <v>20.159400000000002</v>
      </c>
      <c r="J16">
        <v>20.5</v>
      </c>
      <c r="K16">
        <v>20.180900000000001</v>
      </c>
      <c r="L16" s="6">
        <v>15142857.142857101</v>
      </c>
      <c r="M16" s="3">
        <v>0.12867999999999999</v>
      </c>
      <c r="N16" s="2">
        <v>3.8469999999999997E-2</v>
      </c>
      <c r="O16">
        <v>0</v>
      </c>
      <c r="P16" s="5"/>
      <c r="Q16" s="5"/>
      <c r="R16" s="5"/>
    </row>
    <row r="17" spans="1:18" x14ac:dyDescent="0.25">
      <c r="A17">
        <v>1</v>
      </c>
      <c r="B17" t="s">
        <v>2</v>
      </c>
      <c r="C17" t="s">
        <v>0</v>
      </c>
      <c r="D17" t="s">
        <v>8</v>
      </c>
      <c r="E17" s="1">
        <v>44295</v>
      </c>
      <c r="F17">
        <v>12</v>
      </c>
      <c r="G17" s="1">
        <v>44307</v>
      </c>
      <c r="H17" s="1">
        <v>44309</v>
      </c>
      <c r="I17">
        <v>20.159400000000002</v>
      </c>
      <c r="J17">
        <v>20.5</v>
      </c>
      <c r="K17">
        <v>20.180900000000001</v>
      </c>
      <c r="L17" s="6">
        <v>12500000</v>
      </c>
      <c r="M17" s="3">
        <v>0.12867999999999999</v>
      </c>
      <c r="N17" s="2">
        <v>3.8469999999999997E-2</v>
      </c>
      <c r="O17">
        <v>0</v>
      </c>
      <c r="P17" s="5"/>
      <c r="Q17" s="5"/>
      <c r="R17" s="5"/>
    </row>
    <row r="18" spans="1:18" x14ac:dyDescent="0.25">
      <c r="A18">
        <v>1</v>
      </c>
      <c r="B18" t="s">
        <v>2</v>
      </c>
      <c r="C18" t="s">
        <v>0</v>
      </c>
      <c r="D18" t="s">
        <v>8</v>
      </c>
      <c r="E18" s="1">
        <v>44295</v>
      </c>
      <c r="F18">
        <v>12</v>
      </c>
      <c r="G18" s="1">
        <v>44307</v>
      </c>
      <c r="H18" s="1">
        <v>44309</v>
      </c>
      <c r="I18">
        <v>20.159400000000002</v>
      </c>
      <c r="J18">
        <v>20.5</v>
      </c>
      <c r="K18">
        <v>20.180900000000001</v>
      </c>
      <c r="L18" s="6">
        <v>9857142.8571428303</v>
      </c>
      <c r="M18" s="3">
        <v>0.12867999999999999</v>
      </c>
      <c r="N18" s="2">
        <v>3.8469999999999997E-2</v>
      </c>
      <c r="O18">
        <v>0</v>
      </c>
      <c r="P18" s="5"/>
      <c r="Q18" s="5"/>
      <c r="R18" s="5"/>
    </row>
    <row r="19" spans="1:18" x14ac:dyDescent="0.25">
      <c r="A19">
        <v>1</v>
      </c>
      <c r="B19" t="s">
        <v>2</v>
      </c>
      <c r="C19" t="s">
        <v>0</v>
      </c>
      <c r="D19" t="s">
        <v>8</v>
      </c>
      <c r="E19" s="1">
        <v>44295</v>
      </c>
      <c r="F19">
        <v>12</v>
      </c>
      <c r="G19" s="1">
        <v>44307</v>
      </c>
      <c r="H19" s="1">
        <v>44309</v>
      </c>
      <c r="I19">
        <v>20.159400000000002</v>
      </c>
      <c r="J19">
        <v>20.5</v>
      </c>
      <c r="K19">
        <v>20.180900000000001</v>
      </c>
      <c r="L19" s="6">
        <v>7214285.7142857304</v>
      </c>
      <c r="M19" s="3">
        <v>0.12867999999999999</v>
      </c>
      <c r="N19" s="2">
        <v>3.8469999999999997E-2</v>
      </c>
      <c r="O19">
        <v>0</v>
      </c>
      <c r="P19" s="5"/>
      <c r="Q19" s="5"/>
      <c r="R19" s="5"/>
    </row>
    <row r="20" spans="1:18" x14ac:dyDescent="0.25">
      <c r="A20">
        <v>1</v>
      </c>
      <c r="B20" t="s">
        <v>2</v>
      </c>
      <c r="C20" t="s">
        <v>0</v>
      </c>
      <c r="D20" t="s">
        <v>8</v>
      </c>
      <c r="E20" s="1">
        <v>44295</v>
      </c>
      <c r="F20">
        <v>12</v>
      </c>
      <c r="G20" s="1">
        <v>44307</v>
      </c>
      <c r="H20" s="1">
        <v>44309</v>
      </c>
      <c r="I20">
        <v>20.159400000000002</v>
      </c>
      <c r="J20">
        <v>20.5</v>
      </c>
      <c r="K20">
        <v>20.180900000000001</v>
      </c>
      <c r="L20" s="6">
        <v>4571428.5714285299</v>
      </c>
      <c r="M20" s="3">
        <v>0.12867999999999999</v>
      </c>
      <c r="N20" s="2">
        <v>3.8469999999999997E-2</v>
      </c>
      <c r="O20">
        <v>0</v>
      </c>
      <c r="P20" s="5"/>
      <c r="Q20" s="5"/>
      <c r="R20" s="5"/>
    </row>
    <row r="21" spans="1:18" x14ac:dyDescent="0.25">
      <c r="D21" s="1"/>
      <c r="F21" s="1"/>
      <c r="G21" s="1"/>
      <c r="K21" s="4"/>
      <c r="L21" s="3"/>
      <c r="M2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lva_bas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514350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119D4D-9BDB-48CA-984C-9C52B01E580A}">
          <x14:formula1>
            <xm:f>dic!$C$2:$C$3</xm:f>
          </x14:formula1>
          <xm:sqref>D7:D20</xm:sqref>
        </x14:dataValidation>
        <x14:dataValidation type="list" allowBlank="1" showInputMessage="1" showErrorMessage="1" xr:uid="{FB55AC56-0158-4A48-8438-CD594CA46D54}">
          <x14:formula1>
            <xm:f>dic!$A$2:$A$3</xm:f>
          </x14:formula1>
          <xm:sqref>B21 C7:C20</xm:sqref>
        </x14:dataValidation>
        <x14:dataValidation type="list" allowBlank="1" showInputMessage="1" showErrorMessage="1" xr:uid="{82FAE815-915E-4522-A88F-ED1E3A83CE9B}">
          <x14:formula1>
            <xm:f>dic!$E$2:$E$3</xm:f>
          </x14:formula1>
          <xm:sqref>A7:A20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6B49-18BA-4D5A-A764-865E53A82087}">
  <sheetPr codeName="Planilha3"/>
  <dimension ref="A1:L15"/>
  <sheetViews>
    <sheetView workbookViewId="0">
      <selection activeCell="E21" sqref="E21"/>
    </sheetView>
  </sheetViews>
  <sheetFormatPr defaultRowHeight="15" x14ac:dyDescent="0.25"/>
  <sheetData>
    <row r="1" spans="1:12" x14ac:dyDescent="0.25">
      <c r="B1" t="str">
        <f>[1]Gamma!B1</f>
        <v>Gamma -10%</v>
      </c>
      <c r="C1" t="str">
        <f>[1]Gamma!C1</f>
        <v>Gamma -7%</v>
      </c>
      <c r="D1" t="str">
        <f>[1]Gamma!D1</f>
        <v>Gamma -5%</v>
      </c>
      <c r="E1" t="str">
        <f>[1]Gamma!E1</f>
        <v>Gamma -2%</v>
      </c>
      <c r="F1" t="str">
        <f>[1]Gamma!F1</f>
        <v>Gamma -1%</v>
      </c>
      <c r="G1" t="str">
        <f>[1]Gamma!G1</f>
        <v>Gamma 0%</v>
      </c>
      <c r="H1" t="str">
        <f>[1]Gamma!H1</f>
        <v>Gamma 1%</v>
      </c>
      <c r="I1" t="str">
        <f>[1]Gamma!I1</f>
        <v>Gamma 2%</v>
      </c>
      <c r="J1" t="str">
        <f>[1]Gamma!J1</f>
        <v>Gamma 5%</v>
      </c>
      <c r="K1" t="str">
        <f>[1]Gamma!K1</f>
        <v>Gamma 7%</v>
      </c>
      <c r="L1" t="str">
        <f>[1]Gamma!L1</f>
        <v>Gamma 10%</v>
      </c>
    </row>
    <row r="2" spans="1:12" x14ac:dyDescent="0.25">
      <c r="A2" t="str">
        <f>[1]Gamma!A2</f>
        <v>USD/MXN-Put-Sell</v>
      </c>
      <c r="B2">
        <f>[1]Gamma!B2</f>
        <v>-13.57</v>
      </c>
      <c r="C2">
        <f>[1]Gamma!C2</f>
        <v>-7208.69</v>
      </c>
      <c r="D2">
        <f>[1]Gamma!D2</f>
        <v>-147032.15</v>
      </c>
      <c r="E2">
        <f>[1]Gamma!E2</f>
        <v>-2700840.83</v>
      </c>
      <c r="F2">
        <f>[1]Gamma!F2</f>
        <v>-4756185.1900000004</v>
      </c>
      <c r="G2">
        <f>[1]Gamma!G2</f>
        <v>-6911273.0700000003</v>
      </c>
      <c r="H2">
        <f>[1]Gamma!H2</f>
        <v>-8334119.2699999996</v>
      </c>
      <c r="I2">
        <f>[1]Gamma!I2</f>
        <v>-8385675.3700000001</v>
      </c>
      <c r="J2">
        <f>[1]Gamma!J2</f>
        <v>-3036191.68</v>
      </c>
      <c r="K2">
        <f>[1]Gamma!K2</f>
        <v>-683849.56</v>
      </c>
      <c r="L2">
        <f>[1]Gamma!L2</f>
        <v>-23612.87</v>
      </c>
    </row>
    <row r="3" spans="1:12" x14ac:dyDescent="0.25">
      <c r="A3" t="str">
        <f>[1]Gamma!A3</f>
        <v>USD/MXN-Put-Buy</v>
      </c>
      <c r="B3">
        <f>[1]Gamma!B3</f>
        <v>9.5</v>
      </c>
      <c r="C3">
        <f>[1]Gamma!C3</f>
        <v>5046.09</v>
      </c>
      <c r="D3">
        <f>[1]Gamma!D3</f>
        <v>102922.51</v>
      </c>
      <c r="E3">
        <f>[1]Gamma!E3</f>
        <v>1890588.58</v>
      </c>
      <c r="F3">
        <f>[1]Gamma!F3</f>
        <v>3329329.64</v>
      </c>
      <c r="G3">
        <f>[1]Gamma!G3</f>
        <v>4837891.1500000004</v>
      </c>
      <c r="H3">
        <f>[1]Gamma!H3</f>
        <v>5833883.4900000002</v>
      </c>
      <c r="I3">
        <f>[1]Gamma!I3</f>
        <v>5869972.7599999998</v>
      </c>
      <c r="J3">
        <f>[1]Gamma!J3</f>
        <v>2125334.1800000002</v>
      </c>
      <c r="K3">
        <f>[1]Gamma!K3</f>
        <v>478694.69</v>
      </c>
      <c r="L3">
        <f>[1]Gamma!L3</f>
        <v>16529.009999999998</v>
      </c>
    </row>
    <row r="4" spans="1:12" x14ac:dyDescent="0.25">
      <c r="A4" t="str">
        <f>[1]Gamma!A4</f>
        <v>USD/MXN-Put-Buy</v>
      </c>
      <c r="B4">
        <f>[1]Gamma!B4</f>
        <v>4.07</v>
      </c>
      <c r="C4">
        <f>[1]Gamma!C4</f>
        <v>2162.61</v>
      </c>
      <c r="D4">
        <f>[1]Gamma!D4</f>
        <v>44109.65</v>
      </c>
      <c r="E4">
        <f>[1]Gamma!E4</f>
        <v>810252.25</v>
      </c>
      <c r="F4">
        <f>[1]Gamma!F4</f>
        <v>1426855.56</v>
      </c>
      <c r="G4">
        <f>[1]Gamma!G4</f>
        <v>2073381.92</v>
      </c>
      <c r="H4">
        <f>[1]Gamma!H4</f>
        <v>2500235.7799999998</v>
      </c>
      <c r="I4">
        <f>[1]Gamma!I4</f>
        <v>2515702.61</v>
      </c>
      <c r="J4">
        <f>[1]Gamma!J4</f>
        <v>910857.5</v>
      </c>
      <c r="K4">
        <f>[1]Gamma!K4</f>
        <v>205154.87</v>
      </c>
      <c r="L4">
        <f>[1]Gamma!L4</f>
        <v>7083.86</v>
      </c>
    </row>
    <row r="5" spans="1:12" x14ac:dyDescent="0.25">
      <c r="A5" t="str">
        <f>[1]Gamma!A5</f>
        <v>USD/MXN-Put-Sell</v>
      </c>
      <c r="B5">
        <f>[1]Gamma!B5</f>
        <v>-6.79</v>
      </c>
      <c r="C5">
        <f>[1]Gamma!C5</f>
        <v>-3604.35</v>
      </c>
      <c r="D5">
        <f>[1]Gamma!D5</f>
        <v>-73516.08</v>
      </c>
      <c r="E5">
        <f>[1]Gamma!E5</f>
        <v>-1350420.42</v>
      </c>
      <c r="F5">
        <f>[1]Gamma!F5</f>
        <v>-2378092.6</v>
      </c>
      <c r="G5">
        <f>[1]Gamma!G5</f>
        <v>-3455636.53</v>
      </c>
      <c r="H5">
        <f>[1]Gamma!H5</f>
        <v>-4167059.63</v>
      </c>
      <c r="I5">
        <f>[1]Gamma!I5</f>
        <v>-4192837.69</v>
      </c>
      <c r="J5">
        <f>[1]Gamma!J5</f>
        <v>-1518095.84</v>
      </c>
      <c r="K5">
        <f>[1]Gamma!K5</f>
        <v>-341924.78</v>
      </c>
      <c r="L5">
        <f>[1]Gamma!L5</f>
        <v>-11806.44</v>
      </c>
    </row>
    <row r="6" spans="1:12" x14ac:dyDescent="0.25">
      <c r="A6" t="str">
        <f>[1]Gamma!A6</f>
        <v>USD/MXN-Call-Sell</v>
      </c>
      <c r="B6">
        <f>[1]Gamma!B6</f>
        <v>-9.5</v>
      </c>
      <c r="C6">
        <f>[1]Gamma!C6</f>
        <v>-5046.09</v>
      </c>
      <c r="D6">
        <f>[1]Gamma!D6</f>
        <v>-102922.51</v>
      </c>
      <c r="E6">
        <f>[1]Gamma!E6</f>
        <v>-1890588.58</v>
      </c>
      <c r="F6">
        <f>[1]Gamma!F6</f>
        <v>-3329329.64</v>
      </c>
      <c r="G6">
        <f>[1]Gamma!G6</f>
        <v>-4837891.1500000004</v>
      </c>
      <c r="H6">
        <f>[1]Gamma!H6</f>
        <v>-5833883.4900000002</v>
      </c>
      <c r="I6">
        <f>[1]Gamma!I6</f>
        <v>-5869972.7599999998</v>
      </c>
      <c r="J6">
        <f>[1]Gamma!J6</f>
        <v>-2125334.1800000002</v>
      </c>
      <c r="K6">
        <f>[1]Gamma!K6</f>
        <v>-478694.69</v>
      </c>
      <c r="L6">
        <f>[1]Gamma!L6</f>
        <v>-16529.009999999998</v>
      </c>
    </row>
    <row r="7" spans="1:12" x14ac:dyDescent="0.25">
      <c r="A7" t="str">
        <f>[1]Gamma!A7</f>
        <v>USD/MXN-Put-Sell</v>
      </c>
      <c r="B7">
        <f>[1]Gamma!B7</f>
        <v>-12.21</v>
      </c>
      <c r="C7">
        <f>[1]Gamma!C7</f>
        <v>-6487.82</v>
      </c>
      <c r="D7">
        <f>[1]Gamma!D7</f>
        <v>-132328.94</v>
      </c>
      <c r="E7">
        <f>[1]Gamma!E7</f>
        <v>-2430756.75</v>
      </c>
      <c r="F7">
        <f>[1]Gamma!F7</f>
        <v>-4280566.67</v>
      </c>
      <c r="G7">
        <f>[1]Gamma!G7</f>
        <v>-6220145.7599999998</v>
      </c>
      <c r="H7">
        <f>[1]Gamma!H7</f>
        <v>-7500707.3399999999</v>
      </c>
      <c r="I7">
        <f>[1]Gamma!I7</f>
        <v>-7547107.8300000001</v>
      </c>
      <c r="J7">
        <f>[1]Gamma!J7</f>
        <v>-2732572.51</v>
      </c>
      <c r="K7">
        <f>[1]Gamma!K7</f>
        <v>-615464.61</v>
      </c>
      <c r="L7">
        <f>[1]Gamma!L7</f>
        <v>-21251.59</v>
      </c>
    </row>
    <row r="8" spans="1:12" x14ac:dyDescent="0.25">
      <c r="A8" t="str">
        <f>[1]Gamma!A8</f>
        <v>USD/MXN-Put-Sell</v>
      </c>
      <c r="B8">
        <f>[1]Gamma!B8</f>
        <v>-3.26</v>
      </c>
      <c r="C8">
        <f>[1]Gamma!C8</f>
        <v>-1730.09</v>
      </c>
      <c r="D8">
        <f>[1]Gamma!D8</f>
        <v>-35287.72</v>
      </c>
      <c r="E8">
        <f>[1]Gamma!E8</f>
        <v>-648201.80000000005</v>
      </c>
      <c r="F8">
        <f>[1]Gamma!F8</f>
        <v>-1141484.45</v>
      </c>
      <c r="G8">
        <f>[1]Gamma!G8</f>
        <v>-1658705.54</v>
      </c>
      <c r="H8">
        <f>[1]Gamma!H8</f>
        <v>-2000188.62</v>
      </c>
      <c r="I8">
        <f>[1]Gamma!I8</f>
        <v>-2012562.09</v>
      </c>
      <c r="J8">
        <f>[1]Gamma!J8</f>
        <v>-728686</v>
      </c>
      <c r="K8">
        <f>[1]Gamma!K8</f>
        <v>-164123.89000000001</v>
      </c>
      <c r="L8">
        <f>[1]Gamma!L8</f>
        <v>-5667.09</v>
      </c>
    </row>
    <row r="9" spans="1:12" x14ac:dyDescent="0.25">
      <c r="A9" t="str">
        <f>[1]Gamma!A9</f>
        <v>USD/MXN-Put-Sell</v>
      </c>
      <c r="B9">
        <f>[1]Gamma!B9</f>
        <v>-5.54</v>
      </c>
      <c r="C9">
        <f>[1]Gamma!C9</f>
        <v>-2945.27</v>
      </c>
      <c r="D9">
        <f>[1]Gamma!D9</f>
        <v>-60073.14</v>
      </c>
      <c r="E9">
        <f>[1]Gamma!E9</f>
        <v>-1103486.3999999999</v>
      </c>
      <c r="F9">
        <f>[1]Gamma!F9</f>
        <v>-1943241.38</v>
      </c>
      <c r="G9">
        <f>[1]Gamma!G9</f>
        <v>-2823748.71</v>
      </c>
      <c r="H9">
        <f>[1]Gamma!H9</f>
        <v>-3405083.01</v>
      </c>
      <c r="I9">
        <f>[1]Gamma!I9</f>
        <v>-3426147.37</v>
      </c>
      <c r="J9">
        <f>[1]Gamma!J9</f>
        <v>-1240501.17</v>
      </c>
      <c r="K9">
        <f>[1]Gamma!K9</f>
        <v>-279401.39</v>
      </c>
      <c r="L9">
        <f>[1]Gamma!L9</f>
        <v>-9647.5499999999993</v>
      </c>
    </row>
    <row r="10" spans="1:12" x14ac:dyDescent="0.25">
      <c r="A10" t="str">
        <f>[1]Gamma!A10</f>
        <v>USD/MXN-Call-Sell</v>
      </c>
      <c r="B10">
        <f>[1]Gamma!B10</f>
        <v>-4.83</v>
      </c>
      <c r="C10">
        <f>[1]Gamma!C10</f>
        <v>-2564.2399999999998</v>
      </c>
      <c r="D10">
        <f>[1]Gamma!D10</f>
        <v>-52301.440000000002</v>
      </c>
      <c r="E10">
        <f>[1]Gamma!E10</f>
        <v>-960727.67</v>
      </c>
      <c r="F10">
        <f>[1]Gamma!F10</f>
        <v>-1691843.02</v>
      </c>
      <c r="G10">
        <f>[1]Gamma!G10</f>
        <v>-2458438.56</v>
      </c>
      <c r="H10">
        <f>[1]Gamma!H10</f>
        <v>-2964565.28</v>
      </c>
      <c r="I10">
        <f>[1]Gamma!I10</f>
        <v>-2982904.52</v>
      </c>
      <c r="J10">
        <f>[1]Gamma!J10</f>
        <v>-1080016.75</v>
      </c>
      <c r="K10">
        <f>[1]Gamma!K10</f>
        <v>-243255.06</v>
      </c>
      <c r="L10">
        <f>[1]Gamma!L10</f>
        <v>-8399.44</v>
      </c>
    </row>
    <row r="11" spans="1:12" x14ac:dyDescent="0.25">
      <c r="A11" t="str">
        <f>[1]Gamma!A11</f>
        <v>USD/MXN-Put-Sell</v>
      </c>
      <c r="B11">
        <f>[1]Gamma!B11</f>
        <v>-4.1100000000000003</v>
      </c>
      <c r="C11">
        <f>[1]Gamma!C11</f>
        <v>-2183.1999999999998</v>
      </c>
      <c r="D11">
        <f>[1]Gamma!D11</f>
        <v>-44529.74</v>
      </c>
      <c r="E11">
        <f>[1]Gamma!E11</f>
        <v>-817968.94</v>
      </c>
      <c r="F11">
        <f>[1]Gamma!F11</f>
        <v>-1440444.66</v>
      </c>
      <c r="G11">
        <f>[1]Gamma!G11</f>
        <v>-2093128.42</v>
      </c>
      <c r="H11">
        <f>[1]Gamma!H11</f>
        <v>-2524047.5499999998</v>
      </c>
      <c r="I11">
        <f>[1]Gamma!I11</f>
        <v>-2539661.6800000002</v>
      </c>
      <c r="J11">
        <f>[1]Gamma!J11</f>
        <v>-919532.34</v>
      </c>
      <c r="K11">
        <f>[1]Gamma!K11</f>
        <v>-207108.72</v>
      </c>
      <c r="L11">
        <f>[1]Gamma!L11</f>
        <v>-7151.33</v>
      </c>
    </row>
    <row r="12" spans="1:12" x14ac:dyDescent="0.25">
      <c r="A12" t="str">
        <f>[1]Gamma!A12</f>
        <v>USD/MXN-Put-Sell</v>
      </c>
      <c r="B12">
        <f>[1]Gamma!B12</f>
        <v>-3.39</v>
      </c>
      <c r="C12">
        <f>[1]Gamma!C12</f>
        <v>-1802.17</v>
      </c>
      <c r="D12">
        <f>[1]Gamma!D12</f>
        <v>-36758.04</v>
      </c>
      <c r="E12">
        <f>[1]Gamma!E12</f>
        <v>-675210.21</v>
      </c>
      <c r="F12">
        <f>[1]Gamma!F12</f>
        <v>-1189046.3</v>
      </c>
      <c r="G12">
        <f>[1]Gamma!G12</f>
        <v>-1727818.27</v>
      </c>
      <c r="H12">
        <f>[1]Gamma!H12</f>
        <v>-2083529.82</v>
      </c>
      <c r="I12">
        <f>[1]Gamma!I12</f>
        <v>-2096418.84</v>
      </c>
      <c r="J12">
        <f>[1]Gamma!J12</f>
        <v>-759047.92</v>
      </c>
      <c r="K12">
        <f>[1]Gamma!K12</f>
        <v>-170962.39</v>
      </c>
      <c r="L12">
        <f>[1]Gamma!L12</f>
        <v>-5903.22</v>
      </c>
    </row>
    <row r="13" spans="1:12" x14ac:dyDescent="0.25">
      <c r="A13" t="str">
        <f>[1]Gamma!A13</f>
        <v>USD/MXN-Put-Sell</v>
      </c>
      <c r="B13">
        <f>[1]Gamma!B13</f>
        <v>-2.68</v>
      </c>
      <c r="C13">
        <f>[1]Gamma!C13</f>
        <v>-1421.14</v>
      </c>
      <c r="D13">
        <f>[1]Gamma!D13</f>
        <v>-28986.34</v>
      </c>
      <c r="E13">
        <f>[1]Gamma!E13</f>
        <v>-532451.48</v>
      </c>
      <c r="F13">
        <f>[1]Gamma!F13</f>
        <v>-937647.94</v>
      </c>
      <c r="G13">
        <f>[1]Gamma!G13</f>
        <v>-1362508.12</v>
      </c>
      <c r="H13">
        <f>[1]Gamma!H13</f>
        <v>-1643012.08</v>
      </c>
      <c r="I13">
        <f>[1]Gamma!I13</f>
        <v>-1653176</v>
      </c>
      <c r="J13">
        <f>[1]Gamma!J13</f>
        <v>-598563.5</v>
      </c>
      <c r="K13">
        <f>[1]Gamma!K13</f>
        <v>-134816.06</v>
      </c>
      <c r="L13">
        <f>[1]Gamma!L13</f>
        <v>-4655.1099999999997</v>
      </c>
    </row>
    <row r="14" spans="1:12" x14ac:dyDescent="0.25">
      <c r="A14" t="str">
        <f>[1]Gamma!A14</f>
        <v>USD/MXN-Put-Sell</v>
      </c>
      <c r="B14">
        <f>[1]Gamma!B14</f>
        <v>-1.96</v>
      </c>
      <c r="C14">
        <f>[1]Gamma!C14</f>
        <v>-1040.1099999999999</v>
      </c>
      <c r="D14">
        <f>[1]Gamma!D14</f>
        <v>-21214.639999999999</v>
      </c>
      <c r="E14">
        <f>[1]Gamma!E14</f>
        <v>-389692.75</v>
      </c>
      <c r="F14">
        <f>[1]Gamma!F14</f>
        <v>-686249.58</v>
      </c>
      <c r="G14">
        <f>[1]Gamma!G14</f>
        <v>-997197.97</v>
      </c>
      <c r="H14">
        <f>[1]Gamma!H14</f>
        <v>-1202494.3500000001</v>
      </c>
      <c r="I14">
        <f>[1]Gamma!I14</f>
        <v>-1209933.1599999999</v>
      </c>
      <c r="J14">
        <f>[1]Gamma!J14</f>
        <v>-438079.09</v>
      </c>
      <c r="K14">
        <f>[1]Gamma!K14</f>
        <v>-98669.72</v>
      </c>
      <c r="L14">
        <f>[1]Gamma!L14</f>
        <v>-3407</v>
      </c>
    </row>
    <row r="15" spans="1:12" x14ac:dyDescent="0.25">
      <c r="A15" t="str">
        <f>[1]Gamma!A15</f>
        <v>USD/MXN-Put-Sell</v>
      </c>
      <c r="B15">
        <f>[1]Gamma!B15</f>
        <v>-1.24</v>
      </c>
      <c r="C15">
        <f>[1]Gamma!C15</f>
        <v>-659.08</v>
      </c>
      <c r="D15">
        <f>[1]Gamma!D15</f>
        <v>-13442.94</v>
      </c>
      <c r="E15">
        <f>[1]Gamma!E15</f>
        <v>-246934.02</v>
      </c>
      <c r="F15">
        <f>[1]Gamma!F15</f>
        <v>-434851.22</v>
      </c>
      <c r="G15">
        <f>[1]Gamma!G15</f>
        <v>-631887.81999999995</v>
      </c>
      <c r="H15">
        <f>[1]Gamma!H15</f>
        <v>-761976.62</v>
      </c>
      <c r="I15">
        <f>[1]Gamma!I15</f>
        <v>-766690.32</v>
      </c>
      <c r="J15">
        <f>[1]Gamma!J15</f>
        <v>-277594.67</v>
      </c>
      <c r="K15">
        <f>[1]Gamma!K15</f>
        <v>-62523.39</v>
      </c>
      <c r="L15">
        <f>[1]Gamma!L15</f>
        <v>-2158.89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53362-4C2B-4E3F-90EE-4F3218DFCF6D}">
  <sheetPr codeName="Planilha4"/>
  <dimension ref="A1:L15"/>
  <sheetViews>
    <sheetView workbookViewId="0">
      <selection activeCell="F19" sqref="F19"/>
    </sheetView>
  </sheetViews>
  <sheetFormatPr defaultRowHeight="15" x14ac:dyDescent="0.25"/>
  <sheetData>
    <row r="1" spans="1:12" x14ac:dyDescent="0.25">
      <c r="B1" t="str">
        <f>[1]Delta!B1</f>
        <v>Delta -10%</v>
      </c>
      <c r="C1" t="str">
        <f>[1]Delta!C1</f>
        <v>Delta -7%</v>
      </c>
      <c r="D1" t="str">
        <f>[1]Delta!D1</f>
        <v>Delta -5%</v>
      </c>
      <c r="E1" t="str">
        <f>[1]Delta!E1</f>
        <v>Delta -2%</v>
      </c>
      <c r="F1" t="str">
        <f>[1]Delta!F1</f>
        <v>Delta -1%</v>
      </c>
      <c r="G1" t="str">
        <f>[1]Delta!G1</f>
        <v>Delta 0%</v>
      </c>
      <c r="H1" t="str">
        <f>[1]Delta!H1</f>
        <v>Delta 1%</v>
      </c>
      <c r="I1" t="str">
        <f>[1]Delta!I1</f>
        <v>Delta 2%</v>
      </c>
      <c r="J1" t="str">
        <f>[1]Delta!J1</f>
        <v>Delta 5%</v>
      </c>
      <c r="K1" t="str">
        <f>[1]Delta!K1</f>
        <v>Delta 7%</v>
      </c>
      <c r="L1" t="str">
        <f>[1]Delta!L1</f>
        <v>Delta 10%</v>
      </c>
    </row>
    <row r="2" spans="1:12" x14ac:dyDescent="0.25">
      <c r="A2" t="str">
        <f>[1]Delta!A2</f>
        <v>USD/MXN-Put-Sell</v>
      </c>
      <c r="B2">
        <f>[1]Delta!B2</f>
        <v>49999994.079999998</v>
      </c>
      <c r="C2">
        <f>[1]Delta!C2</f>
        <v>49995794.869999997</v>
      </c>
      <c r="D2">
        <f>[1]Delta!D2</f>
        <v>49890905.530000001</v>
      </c>
      <c r="E2">
        <f>[1]Delta!E2</f>
        <v>46775101.130000003</v>
      </c>
      <c r="F2">
        <f>[1]Delta!F2</f>
        <v>43029234.030000001</v>
      </c>
      <c r="G2">
        <f>[1]Delta!G2</f>
        <v>37143194.469999999</v>
      </c>
      <c r="H2">
        <f>[1]Delta!H2</f>
        <v>29464831.100000001</v>
      </c>
      <c r="I2">
        <f>[1]Delta!I2</f>
        <v>21104957.800000001</v>
      </c>
      <c r="J2">
        <f>[1]Delta!J2</f>
        <v>3754394.55</v>
      </c>
      <c r="K2">
        <f>[1]Delta!K2</f>
        <v>615042.22</v>
      </c>
      <c r="L2">
        <f>[1]Delta!L2</f>
        <v>14938.71</v>
      </c>
    </row>
    <row r="3" spans="1:12" x14ac:dyDescent="0.25">
      <c r="A3" t="str">
        <f>[1]Delta!A3</f>
        <v>USD/MXN-Put-Buy</v>
      </c>
      <c r="B3">
        <f>[1]Delta!B3</f>
        <v>-34999995.859999999</v>
      </c>
      <c r="C3">
        <f>[1]Delta!C3</f>
        <v>-34997056.409999996</v>
      </c>
      <c r="D3">
        <f>[1]Delta!D3</f>
        <v>-34923633.869999997</v>
      </c>
      <c r="E3">
        <f>[1]Delta!E3</f>
        <v>-32742570.789999999</v>
      </c>
      <c r="F3">
        <f>[1]Delta!F3</f>
        <v>-30120463.82</v>
      </c>
      <c r="G3">
        <f>[1]Delta!G3</f>
        <v>-26000236.129999999</v>
      </c>
      <c r="H3">
        <f>[1]Delta!H3</f>
        <v>-20625381.77</v>
      </c>
      <c r="I3">
        <f>[1]Delta!I3</f>
        <v>-14773470.460000001</v>
      </c>
      <c r="J3">
        <f>[1]Delta!J3</f>
        <v>-2628076.19</v>
      </c>
      <c r="K3">
        <f>[1]Delta!K3</f>
        <v>-430529.56</v>
      </c>
      <c r="L3">
        <f>[1]Delta!L3</f>
        <v>-10457.1</v>
      </c>
    </row>
    <row r="4" spans="1:12" x14ac:dyDescent="0.25">
      <c r="A4" t="str">
        <f>[1]Delta!A4</f>
        <v>USD/MXN-Put-Buy</v>
      </c>
      <c r="B4">
        <f>[1]Delta!B4</f>
        <v>-14999998.220000001</v>
      </c>
      <c r="C4">
        <f>[1]Delta!C4</f>
        <v>-14998738.460000001</v>
      </c>
      <c r="D4">
        <f>[1]Delta!D4</f>
        <v>-14967271.66</v>
      </c>
      <c r="E4">
        <f>[1]Delta!E4</f>
        <v>-14032530.34</v>
      </c>
      <c r="F4">
        <f>[1]Delta!F4</f>
        <v>-12908770.210000001</v>
      </c>
      <c r="G4">
        <f>[1]Delta!G4</f>
        <v>-11142958.34</v>
      </c>
      <c r="H4">
        <f>[1]Delta!H4</f>
        <v>-8839449.3300000001</v>
      </c>
      <c r="I4">
        <f>[1]Delta!I4</f>
        <v>-6331487.3399999999</v>
      </c>
      <c r="J4">
        <f>[1]Delta!J4</f>
        <v>-1126318.3700000001</v>
      </c>
      <c r="K4">
        <f>[1]Delta!K4</f>
        <v>-184512.67</v>
      </c>
      <c r="L4">
        <f>[1]Delta!L4</f>
        <v>-4481.6099999999997</v>
      </c>
    </row>
    <row r="5" spans="1:12" x14ac:dyDescent="0.25">
      <c r="A5" t="str">
        <f>[1]Delta!A5</f>
        <v>USD/MXN-Put-Sell</v>
      </c>
      <c r="B5">
        <f>[1]Delta!B5</f>
        <v>24999997.039999999</v>
      </c>
      <c r="C5">
        <f>[1]Delta!C5</f>
        <v>24997897.43</v>
      </c>
      <c r="D5">
        <f>[1]Delta!D5</f>
        <v>24945452.77</v>
      </c>
      <c r="E5">
        <f>[1]Delta!E5</f>
        <v>23387550.57</v>
      </c>
      <c r="F5">
        <f>[1]Delta!F5</f>
        <v>21514617.010000002</v>
      </c>
      <c r="G5">
        <f>[1]Delta!G5</f>
        <v>18571597.239999998</v>
      </c>
      <c r="H5">
        <f>[1]Delta!H5</f>
        <v>14732415.550000001</v>
      </c>
      <c r="I5">
        <f>[1]Delta!I5</f>
        <v>10552478.9</v>
      </c>
      <c r="J5">
        <f>[1]Delta!J5</f>
        <v>1877197.28</v>
      </c>
      <c r="K5">
        <f>[1]Delta!K5</f>
        <v>307521.11</v>
      </c>
      <c r="L5">
        <f>[1]Delta!L5</f>
        <v>7469.36</v>
      </c>
    </row>
    <row r="6" spans="1:12" x14ac:dyDescent="0.25">
      <c r="A6" t="str">
        <f>[1]Delta!A6</f>
        <v>USD/MXN-Call-Sell</v>
      </c>
      <c r="B6">
        <f>[1]Delta!B6</f>
        <v>-4.1399999999999997</v>
      </c>
      <c r="C6">
        <f>[1]Delta!C6</f>
        <v>-2943.59</v>
      </c>
      <c r="D6">
        <f>[1]Delta!D6</f>
        <v>-76366.13</v>
      </c>
      <c r="E6">
        <f>[1]Delta!E6</f>
        <v>-2257429.21</v>
      </c>
      <c r="F6">
        <f>[1]Delta!F6</f>
        <v>-4879536.18</v>
      </c>
      <c r="G6">
        <f>[1]Delta!G6</f>
        <v>-8999763.8699999992</v>
      </c>
      <c r="H6">
        <f>[1]Delta!H6</f>
        <v>-14374618.23</v>
      </c>
      <c r="I6">
        <f>[1]Delta!I6</f>
        <v>-20226529.539999999</v>
      </c>
      <c r="J6">
        <f>[1]Delta!J6</f>
        <v>-32371923.809999999</v>
      </c>
      <c r="K6">
        <f>[1]Delta!K6</f>
        <v>-34569470.439999998</v>
      </c>
      <c r="L6">
        <f>[1]Delta!L6</f>
        <v>-34989542.899999999</v>
      </c>
    </row>
    <row r="7" spans="1:12" x14ac:dyDescent="0.25">
      <c r="A7" t="str">
        <f>[1]Delta!A7</f>
        <v>USD/MXN-Put-Sell</v>
      </c>
      <c r="B7">
        <f>[1]Delta!B7</f>
        <v>44999994.670000002</v>
      </c>
      <c r="C7">
        <f>[1]Delta!C7</f>
        <v>44996215.380000003</v>
      </c>
      <c r="D7">
        <f>[1]Delta!D7</f>
        <v>44901814.979999997</v>
      </c>
      <c r="E7">
        <f>[1]Delta!E7</f>
        <v>42097591.020000003</v>
      </c>
      <c r="F7">
        <f>[1]Delta!F7</f>
        <v>38726310.630000003</v>
      </c>
      <c r="G7">
        <f>[1]Delta!G7</f>
        <v>33428875.02</v>
      </c>
      <c r="H7">
        <f>[1]Delta!H7</f>
        <v>26518347.989999998</v>
      </c>
      <c r="I7">
        <f>[1]Delta!I7</f>
        <v>18994462.02</v>
      </c>
      <c r="J7">
        <f>[1]Delta!J7</f>
        <v>3378955.1</v>
      </c>
      <c r="K7">
        <f>[1]Delta!K7</f>
        <v>553538</v>
      </c>
      <c r="L7">
        <f>[1]Delta!L7</f>
        <v>13444.84</v>
      </c>
    </row>
    <row r="8" spans="1:12" x14ac:dyDescent="0.25">
      <c r="A8" t="str">
        <f>[1]Delta!A8</f>
        <v>USD/MXN-Put-Sell</v>
      </c>
      <c r="B8">
        <f>[1]Delta!B8</f>
        <v>11999998.58</v>
      </c>
      <c r="C8">
        <f>[1]Delta!C8</f>
        <v>11998990.77</v>
      </c>
      <c r="D8">
        <f>[1]Delta!D8</f>
        <v>11973817.33</v>
      </c>
      <c r="E8">
        <f>[1]Delta!E8</f>
        <v>11226024.27</v>
      </c>
      <c r="F8">
        <f>[1]Delta!F8</f>
        <v>10327016.17</v>
      </c>
      <c r="G8">
        <f>[1]Delta!G8</f>
        <v>8914366.6699999999</v>
      </c>
      <c r="H8">
        <f>[1]Delta!H8</f>
        <v>7071559.46</v>
      </c>
      <c r="I8">
        <f>[1]Delta!I8</f>
        <v>5065189.87</v>
      </c>
      <c r="J8">
        <f>[1]Delta!J8</f>
        <v>901054.69</v>
      </c>
      <c r="K8">
        <f>[1]Delta!K8</f>
        <v>147610.13</v>
      </c>
      <c r="L8">
        <f>[1]Delta!L8</f>
        <v>3585.29</v>
      </c>
    </row>
    <row r="9" spans="1:12" x14ac:dyDescent="0.25">
      <c r="A9" t="str">
        <f>[1]Delta!A9</f>
        <v>USD/MXN-Put-Sell</v>
      </c>
      <c r="B9">
        <f>[1]Delta!B9</f>
        <v>20428569.010000002</v>
      </c>
      <c r="C9">
        <f>[1]Delta!C9</f>
        <v>20426853.329999998</v>
      </c>
      <c r="D9">
        <f>[1]Delta!D9</f>
        <v>20383998.550000001</v>
      </c>
      <c r="E9">
        <f>[1]Delta!E9</f>
        <v>19110969.890000001</v>
      </c>
      <c r="F9">
        <f>[1]Delta!F9</f>
        <v>17580515.620000001</v>
      </c>
      <c r="G9">
        <f>[1]Delta!G9</f>
        <v>15175648.029999999</v>
      </c>
      <c r="H9">
        <f>[1]Delta!H9</f>
        <v>12038488.140000001</v>
      </c>
      <c r="I9">
        <f>[1]Delta!I9</f>
        <v>8622882.7599999998</v>
      </c>
      <c r="J9">
        <f>[1]Delta!J9</f>
        <v>1533938.35</v>
      </c>
      <c r="K9">
        <f>[1]Delta!K9</f>
        <v>251288.68</v>
      </c>
      <c r="L9">
        <f>[1]Delta!L9</f>
        <v>6103.53</v>
      </c>
    </row>
    <row r="10" spans="1:12" x14ac:dyDescent="0.25">
      <c r="A10" t="str">
        <f>[1]Delta!A10</f>
        <v>USD/MXN-Call-Sell</v>
      </c>
      <c r="B10">
        <f>[1]Delta!B10</f>
        <v>-2.11</v>
      </c>
      <c r="C10">
        <f>[1]Delta!C10</f>
        <v>-1495.83</v>
      </c>
      <c r="D10">
        <f>[1]Delta!D10</f>
        <v>-38806.46</v>
      </c>
      <c r="E10">
        <f>[1]Delta!E10</f>
        <v>-1147142.6000000001</v>
      </c>
      <c r="F10">
        <f>[1]Delta!F10</f>
        <v>-2479601.04</v>
      </c>
      <c r="G10">
        <f>[1]Delta!G10</f>
        <v>-4573349.4000000004</v>
      </c>
      <c r="H10">
        <f>[1]Delta!H10</f>
        <v>-7304652.9400000004</v>
      </c>
      <c r="I10">
        <f>[1]Delta!I10</f>
        <v>-10278379.300000001</v>
      </c>
      <c r="J10">
        <f>[1]Delta!J10</f>
        <v>-16450222.51</v>
      </c>
      <c r="K10">
        <f>[1]Delta!K10</f>
        <v>-17566934.98</v>
      </c>
      <c r="L10">
        <f>[1]Delta!L10</f>
        <v>-17780400.370000001</v>
      </c>
    </row>
    <row r="11" spans="1:12" x14ac:dyDescent="0.25">
      <c r="A11" t="str">
        <f>[1]Delta!A11</f>
        <v>USD/MXN-Put-Sell</v>
      </c>
      <c r="B11">
        <f>[1]Delta!B11</f>
        <v>15142855.35</v>
      </c>
      <c r="C11">
        <f>[1]Delta!C11</f>
        <v>15141583.59</v>
      </c>
      <c r="D11">
        <f>[1]Delta!D11</f>
        <v>15109817.1</v>
      </c>
      <c r="E11">
        <f>[1]Delta!E11</f>
        <v>14166173.49</v>
      </c>
      <c r="F11">
        <f>[1]Delta!F11</f>
        <v>13031710.880000001</v>
      </c>
      <c r="G11">
        <f>[1]Delta!G11</f>
        <v>11249081.75</v>
      </c>
      <c r="H11">
        <f>[1]Delta!H11</f>
        <v>8923634.5600000005</v>
      </c>
      <c r="I11">
        <f>[1]Delta!I11</f>
        <v>6391787.2199999997</v>
      </c>
      <c r="J11">
        <f>[1]Delta!J11</f>
        <v>1137045.21</v>
      </c>
      <c r="K11">
        <f>[1]Delta!K11</f>
        <v>186269.93</v>
      </c>
      <c r="L11">
        <f>[1]Delta!L11</f>
        <v>4524.3</v>
      </c>
    </row>
    <row r="12" spans="1:12" x14ac:dyDescent="0.25">
      <c r="A12" t="str">
        <f>[1]Delta!A12</f>
        <v>USD/MXN-Put-Sell</v>
      </c>
      <c r="B12">
        <f>[1]Delta!B12</f>
        <v>12499998.52</v>
      </c>
      <c r="C12">
        <f>[1]Delta!C12</f>
        <v>12498948.720000001</v>
      </c>
      <c r="D12">
        <f>[1]Delta!D12</f>
        <v>12472726.380000001</v>
      </c>
      <c r="E12">
        <f>[1]Delta!E12</f>
        <v>11693775.279999999</v>
      </c>
      <c r="F12">
        <f>[1]Delta!F12</f>
        <v>10757308.51</v>
      </c>
      <c r="G12">
        <f>[1]Delta!G12</f>
        <v>9285798.6199999992</v>
      </c>
      <c r="H12">
        <f>[1]Delta!H12</f>
        <v>7366207.7800000003</v>
      </c>
      <c r="I12">
        <f>[1]Delta!I12</f>
        <v>5276239.45</v>
      </c>
      <c r="J12">
        <f>[1]Delta!J12</f>
        <v>938598.64</v>
      </c>
      <c r="K12">
        <f>[1]Delta!K12</f>
        <v>153760.56</v>
      </c>
      <c r="L12">
        <f>[1]Delta!L12</f>
        <v>3734.68</v>
      </c>
    </row>
    <row r="13" spans="1:12" x14ac:dyDescent="0.25">
      <c r="A13" t="str">
        <f>[1]Delta!A13</f>
        <v>USD/MXN-Put-Sell</v>
      </c>
      <c r="B13">
        <f>[1]Delta!B13</f>
        <v>9857141.6899999995</v>
      </c>
      <c r="C13">
        <f>[1]Delta!C13</f>
        <v>9856313.8499999996</v>
      </c>
      <c r="D13">
        <f>[1]Delta!D13</f>
        <v>9835635.6600000001</v>
      </c>
      <c r="E13">
        <f>[1]Delta!E13</f>
        <v>9221377.0800000001</v>
      </c>
      <c r="F13">
        <f>[1]Delta!F13</f>
        <v>8482906.1400000006</v>
      </c>
      <c r="G13">
        <f>[1]Delta!G13</f>
        <v>7322515.4800000004</v>
      </c>
      <c r="H13">
        <f>[1]Delta!H13</f>
        <v>5808780.9900000002</v>
      </c>
      <c r="I13">
        <f>[1]Delta!I13</f>
        <v>4160691.68</v>
      </c>
      <c r="J13">
        <f>[1]Delta!J13</f>
        <v>740152.07</v>
      </c>
      <c r="K13">
        <f>[1]Delta!K13</f>
        <v>121251.18</v>
      </c>
      <c r="L13">
        <f>[1]Delta!L13</f>
        <v>2945.06</v>
      </c>
    </row>
    <row r="14" spans="1:12" x14ac:dyDescent="0.25">
      <c r="A14" t="str">
        <f>[1]Delta!A14</f>
        <v>USD/MXN-Put-Sell</v>
      </c>
      <c r="B14">
        <f>[1]Delta!B14</f>
        <v>7214284.8600000003</v>
      </c>
      <c r="C14">
        <f>[1]Delta!C14</f>
        <v>7213678.9699999997</v>
      </c>
      <c r="D14">
        <f>[1]Delta!D14</f>
        <v>7198544.9400000004</v>
      </c>
      <c r="E14">
        <f>[1]Delta!E14</f>
        <v>6748978.8799999999</v>
      </c>
      <c r="F14">
        <f>[1]Delta!F14</f>
        <v>6208503.7699999996</v>
      </c>
      <c r="G14">
        <f>[1]Delta!G14</f>
        <v>5359232.3499999996</v>
      </c>
      <c r="H14">
        <f>[1]Delta!H14</f>
        <v>4251354.2</v>
      </c>
      <c r="I14">
        <f>[1]Delta!I14</f>
        <v>3045143.91</v>
      </c>
      <c r="J14">
        <f>[1]Delta!J14</f>
        <v>541705.5</v>
      </c>
      <c r="K14">
        <f>[1]Delta!K14</f>
        <v>88741.81</v>
      </c>
      <c r="L14">
        <f>[1]Delta!L14</f>
        <v>2155.44</v>
      </c>
    </row>
    <row r="15" spans="1:12" x14ac:dyDescent="0.25">
      <c r="A15" t="str">
        <f>[1]Delta!A15</f>
        <v>USD/MXN-Put-Sell</v>
      </c>
      <c r="B15">
        <f>[1]Delta!B15</f>
        <v>4571428.03</v>
      </c>
      <c r="C15">
        <f>[1]Delta!C15</f>
        <v>4571044.0999999996</v>
      </c>
      <c r="D15">
        <f>[1]Delta!D15</f>
        <v>4561454.22</v>
      </c>
      <c r="E15">
        <f>[1]Delta!E15</f>
        <v>4276580.68</v>
      </c>
      <c r="F15">
        <f>[1]Delta!F15</f>
        <v>3934101.4</v>
      </c>
      <c r="G15">
        <f>[1]Delta!G15</f>
        <v>3395949.21</v>
      </c>
      <c r="H15">
        <f>[1]Delta!H15</f>
        <v>2693927.41</v>
      </c>
      <c r="I15">
        <f>[1]Delta!I15</f>
        <v>1929596.14</v>
      </c>
      <c r="J15">
        <f>[1]Delta!J15</f>
        <v>343258.93</v>
      </c>
      <c r="K15">
        <f>[1]Delta!K15</f>
        <v>56232.43</v>
      </c>
      <c r="L15">
        <f>[1]Delta!L15</f>
        <v>1365.83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AE4-E396-48BD-A862-94C769D144B3}">
  <sheetPr codeName="Planilha2"/>
  <dimension ref="A1:E3"/>
  <sheetViews>
    <sheetView workbookViewId="0">
      <selection activeCell="C18" sqref="C18"/>
    </sheetView>
  </sheetViews>
  <sheetFormatPr defaultRowHeight="15" x14ac:dyDescent="0.25"/>
  <sheetData>
    <row r="1" spans="1:5" x14ac:dyDescent="0.25">
      <c r="A1" t="s">
        <v>5</v>
      </c>
      <c r="C1" t="s">
        <v>7</v>
      </c>
      <c r="E1" t="s">
        <v>11</v>
      </c>
    </row>
    <row r="2" spans="1:5" x14ac:dyDescent="0.25">
      <c r="A2" t="s">
        <v>6</v>
      </c>
      <c r="C2" t="s">
        <v>8</v>
      </c>
      <c r="E2">
        <v>1</v>
      </c>
    </row>
    <row r="3" spans="1:5" x14ac:dyDescent="0.25">
      <c r="A3" t="s">
        <v>0</v>
      </c>
      <c r="C3" t="s">
        <v>9</v>
      </c>
      <c r="E3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book</vt:lpstr>
      <vt:lpstr>Gamma</vt:lpstr>
      <vt:lpstr>Delta</vt:lpstr>
      <vt:lpstr>dic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leandro padulla</cp:lastModifiedBy>
  <dcterms:created xsi:type="dcterms:W3CDTF">2021-04-20T00:29:05Z</dcterms:created>
  <dcterms:modified xsi:type="dcterms:W3CDTF">2021-04-27T04:51:26Z</dcterms:modified>
</cp:coreProperties>
</file>
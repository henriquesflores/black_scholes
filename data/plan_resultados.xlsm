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54ad363d82ba0fc/Documentos/GitHub/padulla/black_scholes/data/"/>
    </mc:Choice>
  </mc:AlternateContent>
  <xr:revisionPtr revIDLastSave="323" documentId="8_{9C54B2B2-78D2-437A-8A04-7A0363C5EDD3}" xr6:coauthVersionLast="46" xr6:coauthVersionMax="46" xr10:uidLastSave="{54CC7C9E-FF25-406F-B94F-DBCC5E45566B}"/>
  <bookViews>
    <workbookView xWindow="1170" yWindow="1170" windowWidth="21600" windowHeight="11505" xr2:uid="{00000000-000D-0000-FFFF-FFFF00000000}"/>
  </bookViews>
  <sheets>
    <sheet name="book" sheetId="1" r:id="rId1"/>
    <sheet name="Gamma" sheetId="3" r:id="rId2"/>
    <sheet name="Delta" sheetId="4" r:id="rId3"/>
    <sheet name="dic" sheetId="2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4" l="1"/>
  <c r="K15" i="4"/>
  <c r="J15" i="4"/>
  <c r="I15" i="4"/>
  <c r="H15" i="4"/>
  <c r="G15" i="4"/>
  <c r="F15" i="4"/>
  <c r="E15" i="4"/>
  <c r="D15" i="4"/>
  <c r="C15" i="4"/>
  <c r="B15" i="4"/>
  <c r="A15" i="4"/>
  <c r="L14" i="4"/>
  <c r="K14" i="4"/>
  <c r="J14" i="4"/>
  <c r="I14" i="4"/>
  <c r="H14" i="4"/>
  <c r="G14" i="4"/>
  <c r="F14" i="4"/>
  <c r="E14" i="4"/>
  <c r="D14" i="4"/>
  <c r="C14" i="4"/>
  <c r="B14" i="4"/>
  <c r="A14" i="4"/>
  <c r="L13" i="4"/>
  <c r="K13" i="4"/>
  <c r="J13" i="4"/>
  <c r="I13" i="4"/>
  <c r="H13" i="4"/>
  <c r="G13" i="4"/>
  <c r="F13" i="4"/>
  <c r="E13" i="4"/>
  <c r="D13" i="4"/>
  <c r="C13" i="4"/>
  <c r="B13" i="4"/>
  <c r="A13" i="4"/>
  <c r="L12" i="4"/>
  <c r="K12" i="4"/>
  <c r="J12" i="4"/>
  <c r="I12" i="4"/>
  <c r="H12" i="4"/>
  <c r="G12" i="4"/>
  <c r="F12" i="4"/>
  <c r="E12" i="4"/>
  <c r="D12" i="4"/>
  <c r="C12" i="4"/>
  <c r="B12" i="4"/>
  <c r="A12" i="4"/>
  <c r="L11" i="4"/>
  <c r="K11" i="4"/>
  <c r="J11" i="4"/>
  <c r="I11" i="4"/>
  <c r="H11" i="4"/>
  <c r="G11" i="4"/>
  <c r="F11" i="4"/>
  <c r="E11" i="4"/>
  <c r="D11" i="4"/>
  <c r="C11" i="4"/>
  <c r="B11" i="4"/>
  <c r="A11" i="4"/>
  <c r="L10" i="4"/>
  <c r="K10" i="4"/>
  <c r="J10" i="4"/>
  <c r="I10" i="4"/>
  <c r="H10" i="4"/>
  <c r="G10" i="4"/>
  <c r="F10" i="4"/>
  <c r="E10" i="4"/>
  <c r="D10" i="4"/>
  <c r="C10" i="4"/>
  <c r="B10" i="4"/>
  <c r="A10" i="4"/>
  <c r="L9" i="4"/>
  <c r="K9" i="4"/>
  <c r="J9" i="4"/>
  <c r="I9" i="4"/>
  <c r="H9" i="4"/>
  <c r="G9" i="4"/>
  <c r="F9" i="4"/>
  <c r="E9" i="4"/>
  <c r="D9" i="4"/>
  <c r="C9" i="4"/>
  <c r="B9" i="4"/>
  <c r="A9" i="4"/>
  <c r="L8" i="4"/>
  <c r="K8" i="4"/>
  <c r="J8" i="4"/>
  <c r="I8" i="4"/>
  <c r="H8" i="4"/>
  <c r="G8" i="4"/>
  <c r="F8" i="4"/>
  <c r="E8" i="4"/>
  <c r="D8" i="4"/>
  <c r="C8" i="4"/>
  <c r="B8" i="4"/>
  <c r="A8" i="4"/>
  <c r="L7" i="4"/>
  <c r="K7" i="4"/>
  <c r="J7" i="4"/>
  <c r="I7" i="4"/>
  <c r="H7" i="4"/>
  <c r="G7" i="4"/>
  <c r="F7" i="4"/>
  <c r="E7" i="4"/>
  <c r="D7" i="4"/>
  <c r="C7" i="4"/>
  <c r="B7" i="4"/>
  <c r="A7" i="4"/>
  <c r="L6" i="4"/>
  <c r="K6" i="4"/>
  <c r="J6" i="4"/>
  <c r="I6" i="4"/>
  <c r="H6" i="4"/>
  <c r="G6" i="4"/>
  <c r="F6" i="4"/>
  <c r="E6" i="4"/>
  <c r="D6" i="4"/>
  <c r="C6" i="4"/>
  <c r="B6" i="4"/>
  <c r="A6" i="4"/>
  <c r="L5" i="4"/>
  <c r="K5" i="4"/>
  <c r="J5" i="4"/>
  <c r="I5" i="4"/>
  <c r="H5" i="4"/>
  <c r="G5" i="4"/>
  <c r="F5" i="4"/>
  <c r="E5" i="4"/>
  <c r="D5" i="4"/>
  <c r="C5" i="4"/>
  <c r="B5" i="4"/>
  <c r="A5" i="4"/>
  <c r="L4" i="4"/>
  <c r="K4" i="4"/>
  <c r="J4" i="4"/>
  <c r="I4" i="4"/>
  <c r="H4" i="4"/>
  <c r="G4" i="4"/>
  <c r="F4" i="4"/>
  <c r="E4" i="4"/>
  <c r="D4" i="4"/>
  <c r="C4" i="4"/>
  <c r="B4" i="4"/>
  <c r="A4" i="4"/>
  <c r="L3" i="4"/>
  <c r="K3" i="4"/>
  <c r="J3" i="4"/>
  <c r="I3" i="4"/>
  <c r="H3" i="4"/>
  <c r="G3" i="4"/>
  <c r="F3" i="4"/>
  <c r="E3" i="4"/>
  <c r="D3" i="4"/>
  <c r="C3" i="4"/>
  <c r="B3" i="4"/>
  <c r="A3" i="4"/>
  <c r="L2" i="4"/>
  <c r="K2" i="4"/>
  <c r="J2" i="4"/>
  <c r="I2" i="4"/>
  <c r="H2" i="4"/>
  <c r="G2" i="4"/>
  <c r="F2" i="4"/>
  <c r="E2" i="4"/>
  <c r="D2" i="4"/>
  <c r="C2" i="4"/>
  <c r="B2" i="4"/>
  <c r="A2" i="4"/>
  <c r="L1" i="4"/>
  <c r="K1" i="4"/>
  <c r="J1" i="4"/>
  <c r="I1" i="4"/>
  <c r="H1" i="4"/>
  <c r="G1" i="4"/>
  <c r="F1" i="4"/>
  <c r="E1" i="4"/>
  <c r="D1" i="4"/>
  <c r="C1" i="4"/>
  <c r="B1" i="4"/>
  <c r="L15" i="3"/>
  <c r="K15" i="3"/>
  <c r="J15" i="3"/>
  <c r="I15" i="3"/>
  <c r="H15" i="3"/>
  <c r="G15" i="3"/>
  <c r="F15" i="3"/>
  <c r="E15" i="3"/>
  <c r="D15" i="3"/>
  <c r="C15" i="3"/>
  <c r="B15" i="3"/>
  <c r="A15" i="3"/>
  <c r="L14" i="3"/>
  <c r="K14" i="3"/>
  <c r="J14" i="3"/>
  <c r="I14" i="3"/>
  <c r="H14" i="3"/>
  <c r="G14" i="3"/>
  <c r="F14" i="3"/>
  <c r="E14" i="3"/>
  <c r="D14" i="3"/>
  <c r="C14" i="3"/>
  <c r="B14" i="3"/>
  <c r="A14" i="3"/>
  <c r="L13" i="3"/>
  <c r="K13" i="3"/>
  <c r="J13" i="3"/>
  <c r="I13" i="3"/>
  <c r="H13" i="3"/>
  <c r="G13" i="3"/>
  <c r="F13" i="3"/>
  <c r="E13" i="3"/>
  <c r="D13" i="3"/>
  <c r="C13" i="3"/>
  <c r="B13" i="3"/>
  <c r="A13" i="3"/>
  <c r="L12" i="3"/>
  <c r="K12" i="3"/>
  <c r="J12" i="3"/>
  <c r="I12" i="3"/>
  <c r="H12" i="3"/>
  <c r="G12" i="3"/>
  <c r="F12" i="3"/>
  <c r="E12" i="3"/>
  <c r="D12" i="3"/>
  <c r="C12" i="3"/>
  <c r="B12" i="3"/>
  <c r="A12" i="3"/>
  <c r="L11" i="3"/>
  <c r="K11" i="3"/>
  <c r="J11" i="3"/>
  <c r="I11" i="3"/>
  <c r="H11" i="3"/>
  <c r="G11" i="3"/>
  <c r="F11" i="3"/>
  <c r="E11" i="3"/>
  <c r="D11" i="3"/>
  <c r="C11" i="3"/>
  <c r="B11" i="3"/>
  <c r="A11" i="3"/>
  <c r="L10" i="3"/>
  <c r="K10" i="3"/>
  <c r="J10" i="3"/>
  <c r="I10" i="3"/>
  <c r="H10" i="3"/>
  <c r="G10" i="3"/>
  <c r="F10" i="3"/>
  <c r="E10" i="3"/>
  <c r="D10" i="3"/>
  <c r="C10" i="3"/>
  <c r="B10" i="3"/>
  <c r="A10" i="3"/>
  <c r="L9" i="3"/>
  <c r="K9" i="3"/>
  <c r="J9" i="3"/>
  <c r="I9" i="3"/>
  <c r="H9" i="3"/>
  <c r="G9" i="3"/>
  <c r="F9" i="3"/>
  <c r="E9" i="3"/>
  <c r="D9" i="3"/>
  <c r="C9" i="3"/>
  <c r="B9" i="3"/>
  <c r="A9" i="3"/>
  <c r="L8" i="3"/>
  <c r="K8" i="3"/>
  <c r="J8" i="3"/>
  <c r="I8" i="3"/>
  <c r="H8" i="3"/>
  <c r="G8" i="3"/>
  <c r="F8" i="3"/>
  <c r="E8" i="3"/>
  <c r="D8" i="3"/>
  <c r="C8" i="3"/>
  <c r="B8" i="3"/>
  <c r="A8" i="3"/>
  <c r="L7" i="3"/>
  <c r="K7" i="3"/>
  <c r="J7" i="3"/>
  <c r="I7" i="3"/>
  <c r="H7" i="3"/>
  <c r="G7" i="3"/>
  <c r="F7" i="3"/>
  <c r="E7" i="3"/>
  <c r="D7" i="3"/>
  <c r="C7" i="3"/>
  <c r="B7" i="3"/>
  <c r="A7" i="3"/>
  <c r="L6" i="3"/>
  <c r="K6" i="3"/>
  <c r="J6" i="3"/>
  <c r="I6" i="3"/>
  <c r="H6" i="3"/>
  <c r="G6" i="3"/>
  <c r="F6" i="3"/>
  <c r="E6" i="3"/>
  <c r="D6" i="3"/>
  <c r="C6" i="3"/>
  <c r="B6" i="3"/>
  <c r="A6" i="3"/>
  <c r="L5" i="3"/>
  <c r="K5" i="3"/>
  <c r="J5" i="3"/>
  <c r="I5" i="3"/>
  <c r="H5" i="3"/>
  <c r="G5" i="3"/>
  <c r="F5" i="3"/>
  <c r="E5" i="3"/>
  <c r="D5" i="3"/>
  <c r="C5" i="3"/>
  <c r="B5" i="3"/>
  <c r="A5" i="3"/>
  <c r="L4" i="3"/>
  <c r="K4" i="3"/>
  <c r="J4" i="3"/>
  <c r="I4" i="3"/>
  <c r="H4" i="3"/>
  <c r="G4" i="3"/>
  <c r="F4" i="3"/>
  <c r="E4" i="3"/>
  <c r="D4" i="3"/>
  <c r="C4" i="3"/>
  <c r="B4" i="3"/>
  <c r="A4" i="3"/>
  <c r="L3" i="3"/>
  <c r="K3" i="3"/>
  <c r="J3" i="3"/>
  <c r="I3" i="3"/>
  <c r="H3" i="3"/>
  <c r="G3" i="3"/>
  <c r="F3" i="3"/>
  <c r="E3" i="3"/>
  <c r="D3" i="3"/>
  <c r="C3" i="3"/>
  <c r="B3" i="3"/>
  <c r="A3" i="3"/>
  <c r="L2" i="3"/>
  <c r="K2" i="3"/>
  <c r="J2" i="3"/>
  <c r="I2" i="3"/>
  <c r="H2" i="3"/>
  <c r="G2" i="3"/>
  <c r="F2" i="3"/>
  <c r="E2" i="3"/>
  <c r="D2" i="3"/>
  <c r="C2" i="3"/>
  <c r="B2" i="3"/>
  <c r="A2" i="3"/>
  <c r="L1" i="3"/>
  <c r="K1" i="3"/>
  <c r="J1" i="3"/>
  <c r="I1" i="3"/>
  <c r="H1" i="3"/>
  <c r="G1" i="3"/>
  <c r="F1" i="3"/>
  <c r="E1" i="3"/>
  <c r="D1" i="3"/>
  <c r="C1" i="3"/>
  <c r="B1" i="3"/>
</calcChain>
</file>

<file path=xl/sharedStrings.xml><?xml version="1.0" encoding="utf-8"?>
<sst xmlns="http://schemas.openxmlformats.org/spreadsheetml/2006/main" count="67" uniqueCount="26">
  <si>
    <t>Put</t>
  </si>
  <si>
    <t>price_date</t>
  </si>
  <si>
    <t>USD/MXN</t>
  </si>
  <si>
    <t>r_d</t>
  </si>
  <si>
    <t>r_f</t>
  </si>
  <si>
    <t>Tipo</t>
  </si>
  <si>
    <t>Call</t>
  </si>
  <si>
    <t>Dir.</t>
  </si>
  <si>
    <t>Sell</t>
  </si>
  <si>
    <t>Buy</t>
  </si>
  <si>
    <t>intervalo</t>
  </si>
  <si>
    <t>Incluir</t>
  </si>
  <si>
    <t>incluir</t>
  </si>
  <si>
    <t>ativo</t>
  </si>
  <si>
    <t>call_put</t>
  </si>
  <si>
    <t>direction</t>
  </si>
  <si>
    <t>tenor</t>
  </si>
  <si>
    <t>expiry</t>
  </si>
  <si>
    <t>delivery</t>
  </si>
  <si>
    <t>spot</t>
  </si>
  <si>
    <t>strike</t>
  </si>
  <si>
    <t>forward</t>
  </si>
  <si>
    <t>notional</t>
  </si>
  <si>
    <t>vol</t>
  </si>
  <si>
    <t>forward_i</t>
  </si>
  <si>
    <t>forward_f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</si>
</sst>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_-;\-* #,##0.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10" fontId="0" fillId="0" borderId="0" xfId="0" applyNumberFormat="1"/>
    <xf numFmtId="9" fontId="0" fillId="0" borderId="0" xfId="0" applyNumberFormat="1"/>
    <xf numFmtId="164" fontId="0" fillId="0" borderId="0" xfId="42" applyNumberFormat="1" applyFont="1"/>
    <xf numFmtId="0" fontId="0" fillId="0" borderId="0" xfId="0" applyAlignment="1">
      <alignment horizontal="center"/>
    </xf>
    <xf numFmtId="1" fontId="0" fillId="0" borderId="0" xfId="0" applyNumberFormat="1"/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  <cellStyle name="Vírgula" xfId="4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514350</xdr:colOff>
          <xdr:row>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Rodar Portfolio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eek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ta"/>
      <sheetName val="Gamma"/>
    </sheetNames>
    <sheetDataSet>
      <sheetData sheetId="0">
        <row r="1">
          <cell r="B1" t="str">
            <v>Delta -10%</v>
          </cell>
          <cell r="C1" t="str">
            <v>Delta -7%</v>
          </cell>
          <cell r="D1" t="str">
            <v>Delta -5%</v>
          </cell>
          <cell r="E1" t="str">
            <v>Delta -2%</v>
          </cell>
          <cell r="F1" t="str">
            <v>Delta -1%</v>
          </cell>
          <cell r="G1" t="str">
            <v>Delta 0%</v>
          </cell>
          <cell r="H1" t="str">
            <v>Delta 1%</v>
          </cell>
          <cell r="I1" t="str">
            <v>Delta 2%</v>
          </cell>
          <cell r="J1" t="str">
            <v>Delta 5%</v>
          </cell>
          <cell r="K1" t="str">
            <v>Delta 7%</v>
          </cell>
          <cell r="L1" t="str">
            <v>Delta 10%</v>
          </cell>
        </row>
        <row r="2">
          <cell r="A2" t="str">
            <v>USD/MXN-Put-Sell</v>
          </cell>
          <cell r="B2">
            <v>49999994.08072184</v>
          </cell>
          <cell r="C2">
            <v>49995794.866941303</v>
          </cell>
          <cell r="D2">
            <v>49890905.530715957</v>
          </cell>
          <cell r="E2">
            <v>46775101.134906597</v>
          </cell>
          <cell r="F2">
            <v>43029234.028813653</v>
          </cell>
          <cell r="G2">
            <v>37143194.471060857</v>
          </cell>
          <cell r="H2">
            <v>29464831.10046858</v>
          </cell>
          <cell r="I2">
            <v>21104957.803327121</v>
          </cell>
          <cell r="J2">
            <v>3754394.551999779</v>
          </cell>
          <cell r="K2">
            <v>615042.22199346148</v>
          </cell>
          <cell r="L2">
            <v>14938.712346568291</v>
          </cell>
        </row>
        <row r="3">
          <cell r="A3" t="str">
            <v>USD/MXN-Put-Buy</v>
          </cell>
          <cell r="B3">
            <v>-34999995.85650529</v>
          </cell>
          <cell r="C3">
            <v>-34997056.406858914</v>
          </cell>
          <cell r="D3">
            <v>-34923633.871501178</v>
          </cell>
          <cell r="E3">
            <v>-32742570.794434618</v>
          </cell>
          <cell r="F3">
            <v>-30120463.820169549</v>
          </cell>
          <cell r="G3">
            <v>-26000236.1297426</v>
          </cell>
          <cell r="H3">
            <v>-20625381.770328011</v>
          </cell>
          <cell r="I3">
            <v>-14773470.46232898</v>
          </cell>
          <cell r="J3">
            <v>-2628076.1863998449</v>
          </cell>
          <cell r="K3">
            <v>-430529.55539542303</v>
          </cell>
          <cell r="L3">
            <v>-10457.09864259781</v>
          </cell>
        </row>
        <row r="4">
          <cell r="A4" t="str">
            <v>USD/MXN-Put-Buy</v>
          </cell>
          <cell r="B4">
            <v>-14999998.224216551</v>
          </cell>
          <cell r="C4">
            <v>-14998738.460082389</v>
          </cell>
          <cell r="D4">
            <v>-14967271.659214791</v>
          </cell>
          <cell r="E4">
            <v>-14032530.340471979</v>
          </cell>
          <cell r="F4">
            <v>-12908770.20864409</v>
          </cell>
          <cell r="G4">
            <v>-11142958.341318261</v>
          </cell>
          <cell r="H4">
            <v>-8839449.3301405739</v>
          </cell>
          <cell r="I4">
            <v>-6331487.3409981364</v>
          </cell>
          <cell r="J4">
            <v>-1126318.365599934</v>
          </cell>
          <cell r="K4">
            <v>-184512.66659803849</v>
          </cell>
          <cell r="L4">
            <v>-4481.6137039704881</v>
          </cell>
        </row>
        <row r="5">
          <cell r="A5" t="str">
            <v>USD/MXN-Put-Sell</v>
          </cell>
          <cell r="B5">
            <v>24999997.04036092</v>
          </cell>
          <cell r="C5">
            <v>24997897.433470652</v>
          </cell>
          <cell r="D5">
            <v>24945452.765357979</v>
          </cell>
          <cell r="E5">
            <v>23387550.567453299</v>
          </cell>
          <cell r="F5">
            <v>21514617.014406819</v>
          </cell>
          <cell r="G5">
            <v>18571597.235530429</v>
          </cell>
          <cell r="H5">
            <v>14732415.55023429</v>
          </cell>
          <cell r="I5">
            <v>10552478.90166356</v>
          </cell>
          <cell r="J5">
            <v>1877197.275999889</v>
          </cell>
          <cell r="K5">
            <v>307521.11099673068</v>
          </cell>
          <cell r="L5">
            <v>7469.3561732841472</v>
          </cell>
        </row>
        <row r="6">
          <cell r="A6" t="str">
            <v>USD/MXN-Call-Sell</v>
          </cell>
          <cell r="B6">
            <v>-4.143494715130001</v>
          </cell>
          <cell r="C6">
            <v>-2943.5931410921798</v>
          </cell>
          <cell r="D6">
            <v>-76366.128498820952</v>
          </cell>
          <cell r="E6">
            <v>-2257429.2055653771</v>
          </cell>
          <cell r="F6">
            <v>-4879536.1798304478</v>
          </cell>
          <cell r="G6">
            <v>-8999763.8702573981</v>
          </cell>
          <cell r="H6">
            <v>-14374618.22967199</v>
          </cell>
          <cell r="I6">
            <v>-20226529.537671018</v>
          </cell>
          <cell r="J6">
            <v>-32371923.81360016</v>
          </cell>
          <cell r="K6">
            <v>-34569470.444604583</v>
          </cell>
          <cell r="L6">
            <v>-34989542.901357397</v>
          </cell>
        </row>
        <row r="7">
          <cell r="A7" t="str">
            <v>USD/MXN-Put-Sell</v>
          </cell>
          <cell r="B7">
            <v>44999994.672649652</v>
          </cell>
          <cell r="C7">
            <v>44996215.380247168</v>
          </cell>
          <cell r="D7">
            <v>44901814.977644369</v>
          </cell>
          <cell r="E7">
            <v>42097591.021415941</v>
          </cell>
          <cell r="F7">
            <v>38726310.625932284</v>
          </cell>
          <cell r="G7">
            <v>33428875.023954771</v>
          </cell>
          <cell r="H7">
            <v>26518347.99042172</v>
          </cell>
          <cell r="I7">
            <v>18994462.02299441</v>
          </cell>
          <cell r="J7">
            <v>3378955.0967998011</v>
          </cell>
          <cell r="K7">
            <v>553537.99979411531</v>
          </cell>
          <cell r="L7">
            <v>13444.841111911461</v>
          </cell>
        </row>
        <row r="8">
          <cell r="A8" t="str">
            <v>USD/MXN-Put-Sell</v>
          </cell>
          <cell r="B8">
            <v>11999998.57937324</v>
          </cell>
          <cell r="C8">
            <v>11998990.768065911</v>
          </cell>
          <cell r="D8">
            <v>11973817.32737183</v>
          </cell>
          <cell r="E8">
            <v>11226024.27237759</v>
          </cell>
          <cell r="F8">
            <v>10327016.166915281</v>
          </cell>
          <cell r="G8">
            <v>8914366.6730546057</v>
          </cell>
          <cell r="H8">
            <v>7071559.4641124597</v>
          </cell>
          <cell r="I8">
            <v>5065189.872798508</v>
          </cell>
          <cell r="J8">
            <v>901054.692479947</v>
          </cell>
          <cell r="K8">
            <v>147610.13327843079</v>
          </cell>
          <cell r="L8">
            <v>3585.290963176391</v>
          </cell>
        </row>
        <row r="9">
          <cell r="A9" t="str">
            <v>USD/MXN-Put-Sell</v>
          </cell>
          <cell r="B9">
            <v>20428569.010123469</v>
          </cell>
          <cell r="C9">
            <v>20426853.331350271</v>
          </cell>
          <cell r="D9">
            <v>20383998.545406781</v>
          </cell>
          <cell r="E9">
            <v>19110969.892261811</v>
          </cell>
          <cell r="F9">
            <v>17580515.617486689</v>
          </cell>
          <cell r="G9">
            <v>15175648.0267477</v>
          </cell>
          <cell r="H9">
            <v>12038488.135334291</v>
          </cell>
          <cell r="I9">
            <v>8622882.7596450672</v>
          </cell>
          <cell r="J9">
            <v>1533938.345531336</v>
          </cell>
          <cell r="K9">
            <v>251288.67927161389</v>
          </cell>
          <cell r="L9">
            <v>6103.5310444550378</v>
          </cell>
        </row>
        <row r="10">
          <cell r="A10" t="str">
            <v>USD/MXN-Call-Sell</v>
          </cell>
          <cell r="B10">
            <v>-2.105571804219124</v>
          </cell>
          <cell r="C10">
            <v>-1495.8259023101091</v>
          </cell>
          <cell r="D10">
            <v>-38806.461216747819</v>
          </cell>
          <cell r="E10">
            <v>-1147142.596297509</v>
          </cell>
          <cell r="F10">
            <v>-2479601.038322005</v>
          </cell>
          <cell r="G10">
            <v>-4573349.3952940693</v>
          </cell>
          <cell r="H10">
            <v>-7304652.9371190388</v>
          </cell>
          <cell r="I10">
            <v>-10278379.29567365</v>
          </cell>
          <cell r="J10">
            <v>-16450222.50936009</v>
          </cell>
          <cell r="K10">
            <v>-17566934.981033769</v>
          </cell>
          <cell r="L10">
            <v>-17780400.372322451</v>
          </cell>
        </row>
        <row r="11">
          <cell r="A11" t="str">
            <v>USD/MXN-Put-Sell</v>
          </cell>
          <cell r="B11">
            <v>15142855.350161429</v>
          </cell>
          <cell r="C11">
            <v>15141583.588273611</v>
          </cell>
          <cell r="D11">
            <v>15109817.10358822</v>
          </cell>
          <cell r="E11">
            <v>14166173.486571681</v>
          </cell>
          <cell r="F11">
            <v>13031710.877297809</v>
          </cell>
          <cell r="G11">
            <v>11249081.75409269</v>
          </cell>
          <cell r="H11">
            <v>8923634.561856173</v>
          </cell>
          <cell r="I11">
            <v>6391787.2204361949</v>
          </cell>
          <cell r="J11">
            <v>1137045.207177073</v>
          </cell>
          <cell r="K11">
            <v>186269.93008944779</v>
          </cell>
          <cell r="L11">
            <v>4524.295739246385</v>
          </cell>
        </row>
        <row r="12">
          <cell r="A12" t="str">
            <v>USD/MXN-Put-Sell</v>
          </cell>
          <cell r="B12">
            <v>12499998.52018046</v>
          </cell>
          <cell r="C12">
            <v>12498948.71673532</v>
          </cell>
          <cell r="D12">
            <v>12472726.382678989</v>
          </cell>
          <cell r="E12">
            <v>11693775.283726649</v>
          </cell>
          <cell r="F12">
            <v>10757308.507203409</v>
          </cell>
          <cell r="G12">
            <v>9285798.6177652143</v>
          </cell>
          <cell r="H12">
            <v>7366207.7751171449</v>
          </cell>
          <cell r="I12">
            <v>5276239.4508317793</v>
          </cell>
          <cell r="J12">
            <v>938598.63799994474</v>
          </cell>
          <cell r="K12">
            <v>153760.5554983654</v>
          </cell>
          <cell r="L12">
            <v>3734.678086642074</v>
          </cell>
        </row>
        <row r="13">
          <cell r="A13" t="str">
            <v>USD/MXN-Put-Sell</v>
          </cell>
          <cell r="B13">
            <v>9857141.6901994217</v>
          </cell>
          <cell r="C13">
            <v>9856313.8451969717</v>
          </cell>
          <cell r="D13">
            <v>9835635.6617696919</v>
          </cell>
          <cell r="E13">
            <v>9221377.0808815621</v>
          </cell>
          <cell r="F13">
            <v>8482906.1371089518</v>
          </cell>
          <cell r="G13">
            <v>7322515.4814376924</v>
          </cell>
          <cell r="H13">
            <v>5808780.9883780759</v>
          </cell>
          <cell r="I13">
            <v>4160691.6812273348</v>
          </cell>
          <cell r="J13">
            <v>740152.06882281159</v>
          </cell>
          <cell r="K13">
            <v>121251.18090728211</v>
          </cell>
          <cell r="L13">
            <v>2945.0604340377408</v>
          </cell>
        </row>
        <row r="14">
          <cell r="A14" t="str">
            <v>USD/MXN-Put-Sell</v>
          </cell>
          <cell r="B14">
            <v>7214284.8602184523</v>
          </cell>
          <cell r="C14">
            <v>7213678.9736586884</v>
          </cell>
          <cell r="D14">
            <v>7198544.9408604624</v>
          </cell>
          <cell r="E14">
            <v>6748978.8780365391</v>
          </cell>
          <cell r="F14">
            <v>6208503.7670145538</v>
          </cell>
          <cell r="G14">
            <v>5359232.3451102218</v>
          </cell>
          <cell r="H14">
            <v>4251354.2016390478</v>
          </cell>
          <cell r="I14">
            <v>3045143.9116229201</v>
          </cell>
          <cell r="J14">
            <v>541705.49964568357</v>
          </cell>
          <cell r="K14">
            <v>88741.80631619964</v>
          </cell>
          <cell r="L14">
            <v>2155.4427814334299</v>
          </cell>
        </row>
        <row r="15">
          <cell r="A15" t="str">
            <v>USD/MXN-Put-Sell</v>
          </cell>
          <cell r="B15">
            <v>4571428.0302373832</v>
          </cell>
          <cell r="C15">
            <v>4571044.1021203054</v>
          </cell>
          <cell r="D15">
            <v>4561454.2199511323</v>
          </cell>
          <cell r="E15">
            <v>4276580.675191422</v>
          </cell>
          <cell r="F15">
            <v>3934101.3969200691</v>
          </cell>
          <cell r="G15">
            <v>3395949.2087826761</v>
          </cell>
          <cell r="H15">
            <v>2693927.4148999602</v>
          </cell>
          <cell r="I15">
            <v>1929596.1420184621</v>
          </cell>
          <cell r="J15">
            <v>343258.93046854809</v>
          </cell>
          <cell r="K15">
            <v>56232.431725115966</v>
          </cell>
          <cell r="L15">
            <v>1365.825128829089</v>
          </cell>
        </row>
      </sheetData>
      <sheetData sheetId="1">
        <row r="1">
          <cell r="B1" t="str">
            <v>Gamma -10%</v>
          </cell>
          <cell r="C1" t="str">
            <v>Gamma -7%</v>
          </cell>
          <cell r="D1" t="str">
            <v>Gamma -5%</v>
          </cell>
          <cell r="E1" t="str">
            <v>Gamma -2%</v>
          </cell>
          <cell r="F1" t="str">
            <v>Gamma -1%</v>
          </cell>
          <cell r="G1" t="str">
            <v>Gamma 0%</v>
          </cell>
          <cell r="H1" t="str">
            <v>Gamma 1%</v>
          </cell>
          <cell r="I1" t="str">
            <v>Gamma 2%</v>
          </cell>
          <cell r="J1" t="str">
            <v>Gamma 5%</v>
          </cell>
          <cell r="K1" t="str">
            <v>Gamma 7%</v>
          </cell>
          <cell r="L1" t="str">
            <v>Gamma 10%</v>
          </cell>
        </row>
        <row r="2">
          <cell r="A2" t="str">
            <v>USD/MXN-Put-Sell</v>
          </cell>
          <cell r="B2">
            <v>-13.57029255401183</v>
          </cell>
          <cell r="C2">
            <v>-7208.6939229806922</v>
          </cell>
          <cell r="D2">
            <v>-147032.15203318559</v>
          </cell>
          <cell r="E2">
            <v>-2700840.832040247</v>
          </cell>
          <cell r="F2">
            <v>-4756185.1940993899</v>
          </cell>
          <cell r="G2">
            <v>-6911273.0694557941</v>
          </cell>
          <cell r="H2">
            <v>-8334119.2660711706</v>
          </cell>
          <cell r="I2">
            <v>-8385675.3708326528</v>
          </cell>
          <cell r="J2">
            <v>-3036191.6788248811</v>
          </cell>
          <cell r="K2">
            <v>-683849.56224581564</v>
          </cell>
          <cell r="L2">
            <v>-23612.873285242411</v>
          </cell>
        </row>
        <row r="3">
          <cell r="A3" t="str">
            <v>USD/MXN-Put-Buy</v>
          </cell>
          <cell r="B3">
            <v>9.4992047878082815</v>
          </cell>
          <cell r="C3">
            <v>5046.0857460864854</v>
          </cell>
          <cell r="D3">
            <v>102922.50642323001</v>
          </cell>
          <cell r="E3">
            <v>1890588.5824281729</v>
          </cell>
          <cell r="F3">
            <v>3329329.6358695729</v>
          </cell>
          <cell r="G3">
            <v>4837891.1486190548</v>
          </cell>
          <cell r="H3">
            <v>5833883.4862498213</v>
          </cell>
          <cell r="I3">
            <v>5869972.7595828567</v>
          </cell>
          <cell r="J3">
            <v>2125334.1751774158</v>
          </cell>
          <cell r="K3">
            <v>478694.69357207092</v>
          </cell>
          <cell r="L3">
            <v>16529.011299669692</v>
          </cell>
        </row>
        <row r="4">
          <cell r="A4" t="str">
            <v>USD/MXN-Put-Buy</v>
          </cell>
          <cell r="B4">
            <v>4.0710877662035498</v>
          </cell>
          <cell r="C4">
            <v>2162.6081768942081</v>
          </cell>
          <cell r="D4">
            <v>44109.645609955704</v>
          </cell>
          <cell r="E4">
            <v>810252.249612074</v>
          </cell>
          <cell r="F4">
            <v>1426855.5582298171</v>
          </cell>
          <cell r="G4">
            <v>2073381.9208367381</v>
          </cell>
          <cell r="H4">
            <v>2500235.7798213521</v>
          </cell>
          <cell r="I4">
            <v>2515702.6112497961</v>
          </cell>
          <cell r="J4">
            <v>910857.50364746409</v>
          </cell>
          <cell r="K4">
            <v>205154.8686737447</v>
          </cell>
          <cell r="L4">
            <v>7083.8619855727229</v>
          </cell>
        </row>
        <row r="5">
          <cell r="A5" t="str">
            <v>USD/MXN-Put-Sell</v>
          </cell>
          <cell r="B5">
            <v>-6.7851462770059152</v>
          </cell>
          <cell r="C5">
            <v>-3604.3469614903461</v>
          </cell>
          <cell r="D5">
            <v>-73516.076016592822</v>
          </cell>
          <cell r="E5">
            <v>-1350420.4160201231</v>
          </cell>
          <cell r="F5">
            <v>-2378092.597049695</v>
          </cell>
          <cell r="G5">
            <v>-3455636.534727897</v>
          </cell>
          <cell r="H5">
            <v>-4167059.6330355862</v>
          </cell>
          <cell r="I5">
            <v>-4192837.6854163259</v>
          </cell>
          <cell r="J5">
            <v>-1518095.8394124401</v>
          </cell>
          <cell r="K5">
            <v>-341924.78112290782</v>
          </cell>
          <cell r="L5">
            <v>-11806.436642621209</v>
          </cell>
        </row>
        <row r="6">
          <cell r="A6" t="str">
            <v>USD/MXN-Call-Sell</v>
          </cell>
          <cell r="B6">
            <v>-9.4992047878082815</v>
          </cell>
          <cell r="C6">
            <v>-5046.0857460864854</v>
          </cell>
          <cell r="D6">
            <v>-102922.50642323001</v>
          </cell>
          <cell r="E6">
            <v>-1890588.5824281729</v>
          </cell>
          <cell r="F6">
            <v>-3329329.6358695729</v>
          </cell>
          <cell r="G6">
            <v>-4837891.1486190548</v>
          </cell>
          <cell r="H6">
            <v>-5833883.4862498213</v>
          </cell>
          <cell r="I6">
            <v>-5869972.7595828567</v>
          </cell>
          <cell r="J6">
            <v>-2125334.1751774158</v>
          </cell>
          <cell r="K6">
            <v>-478694.69357207092</v>
          </cell>
          <cell r="L6">
            <v>-16529.011299669692</v>
          </cell>
        </row>
        <row r="7">
          <cell r="A7" t="str">
            <v>USD/MXN-Put-Sell</v>
          </cell>
          <cell r="B7">
            <v>-12.21326329861065</v>
          </cell>
          <cell r="C7">
            <v>-6487.8245306826229</v>
          </cell>
          <cell r="D7">
            <v>-132328.9368298671</v>
          </cell>
          <cell r="E7">
            <v>-2430756.7488362221</v>
          </cell>
          <cell r="F7">
            <v>-4280566.6746894503</v>
          </cell>
          <cell r="G7">
            <v>-6220145.762510214</v>
          </cell>
          <cell r="H7">
            <v>-7500707.3394640554</v>
          </cell>
          <cell r="I7">
            <v>-7547107.8337493883</v>
          </cell>
          <cell r="J7">
            <v>-2732572.510942393</v>
          </cell>
          <cell r="K7">
            <v>-615464.60602123407</v>
          </cell>
          <cell r="L7">
            <v>-21251.585956718169</v>
          </cell>
        </row>
        <row r="8">
          <cell r="A8" t="str">
            <v>USD/MXN-Put-Sell</v>
          </cell>
          <cell r="B8">
            <v>-3.25687021296284</v>
          </cell>
          <cell r="C8">
            <v>-1730.086541515366</v>
          </cell>
          <cell r="D8">
            <v>-35287.716487964557</v>
          </cell>
          <cell r="E8">
            <v>-648201.79968965927</v>
          </cell>
          <cell r="F8">
            <v>-1141484.446583854</v>
          </cell>
          <cell r="G8">
            <v>-1658705.536669391</v>
          </cell>
          <cell r="H8">
            <v>-2000188.6238570821</v>
          </cell>
          <cell r="I8">
            <v>-2012562.0889998369</v>
          </cell>
          <cell r="J8">
            <v>-728686.00291797135</v>
          </cell>
          <cell r="K8">
            <v>-164123.89493899571</v>
          </cell>
          <cell r="L8">
            <v>-5667.0895884581787</v>
          </cell>
        </row>
        <row r="9">
          <cell r="A9" t="str">
            <v>USD/MXN-Put-Sell</v>
          </cell>
          <cell r="B9">
            <v>-5.544433814924826</v>
          </cell>
          <cell r="C9">
            <v>-2945.2663742463928</v>
          </cell>
          <cell r="D9">
            <v>-60073.136402130061</v>
          </cell>
          <cell r="E9">
            <v>-1103486.3970907279</v>
          </cell>
          <cell r="F9">
            <v>-1943241.3793034621</v>
          </cell>
          <cell r="G9">
            <v>-2823748.7112347912</v>
          </cell>
          <cell r="H9">
            <v>-3405083.0144233601</v>
          </cell>
          <cell r="I9">
            <v>-3426147.3657973362</v>
          </cell>
          <cell r="J9">
            <v>-1240501.1716341639</v>
          </cell>
          <cell r="K9">
            <v>-279401.39257471857</v>
          </cell>
          <cell r="L9">
            <v>-9647.5453708276018</v>
          </cell>
        </row>
        <row r="10">
          <cell r="A10" t="str">
            <v>USD/MXN-Call-Sell</v>
          </cell>
          <cell r="B10">
            <v>-4.8271469227842116</v>
          </cell>
          <cell r="C10">
            <v>-2564.2354097459911</v>
          </cell>
          <cell r="D10">
            <v>-52301.436937518927</v>
          </cell>
          <cell r="E10">
            <v>-960727.66739717429</v>
          </cell>
          <cell r="F10">
            <v>-1691843.0190439271</v>
          </cell>
          <cell r="G10">
            <v>-2458438.563277849</v>
          </cell>
          <cell r="H10">
            <v>-2964565.2817881759</v>
          </cell>
          <cell r="I10">
            <v>-2982904.5247676182</v>
          </cell>
          <cell r="J10">
            <v>-1080016.7543248511</v>
          </cell>
          <cell r="K10">
            <v>-243255.05857029749</v>
          </cell>
          <cell r="L10">
            <v>-8399.4363543219497</v>
          </cell>
        </row>
        <row r="11">
          <cell r="A11" t="str">
            <v>USD/MXN-Put-Sell</v>
          </cell>
          <cell r="B11">
            <v>-4.1098600306435724</v>
          </cell>
          <cell r="C11">
            <v>-2183.2044452455748</v>
          </cell>
          <cell r="D11">
            <v>-44529.737472907538</v>
          </cell>
          <cell r="E11">
            <v>-817968.9377036154</v>
          </cell>
          <cell r="F11">
            <v>-1440444.658784383</v>
          </cell>
          <cell r="G11">
            <v>-2093128.415320891</v>
          </cell>
          <cell r="H11">
            <v>-2524047.5491529759</v>
          </cell>
          <cell r="I11">
            <v>-2539661.6837378819</v>
          </cell>
          <cell r="J11">
            <v>-919532.33701553266</v>
          </cell>
          <cell r="K11">
            <v>-207108.72456587499</v>
          </cell>
          <cell r="L11">
            <v>-7151.3273378162539</v>
          </cell>
        </row>
        <row r="12">
          <cell r="A12" t="str">
            <v>USD/MXN-Put-Sell</v>
          </cell>
          <cell r="B12">
            <v>-3.3925731385029581</v>
          </cell>
          <cell r="C12">
            <v>-1802.173480745173</v>
          </cell>
          <cell r="D12">
            <v>-36758.038008296411</v>
          </cell>
          <cell r="E12">
            <v>-675210.20801006164</v>
          </cell>
          <cell r="F12">
            <v>-1189046.298524847</v>
          </cell>
          <cell r="G12">
            <v>-1727818.267363949</v>
          </cell>
          <cell r="H12">
            <v>-2083529.8165177931</v>
          </cell>
          <cell r="I12">
            <v>-2096418.842708163</v>
          </cell>
          <cell r="J12">
            <v>-759047.91970622016</v>
          </cell>
          <cell r="K12">
            <v>-170962.39056145391</v>
          </cell>
          <cell r="L12">
            <v>-5903.2183213106027</v>
          </cell>
        </row>
        <row r="13">
          <cell r="A13" t="str">
            <v>USD/MXN-Put-Sell</v>
          </cell>
          <cell r="B13">
            <v>-2.675286246362325</v>
          </cell>
          <cell r="C13">
            <v>-1421.1425162447611</v>
          </cell>
          <cell r="D13">
            <v>-28986.338543685099</v>
          </cell>
          <cell r="E13">
            <v>-532451.47831650439</v>
          </cell>
          <cell r="F13">
            <v>-937647.93826530559</v>
          </cell>
          <cell r="G13">
            <v>-1362508.1194069949</v>
          </cell>
          <cell r="H13">
            <v>-1643012.083882598</v>
          </cell>
          <cell r="I13">
            <v>-1653176.001678433</v>
          </cell>
          <cell r="J13">
            <v>-598563.50239690347</v>
          </cell>
          <cell r="K13">
            <v>-134816.05655703181</v>
          </cell>
          <cell r="L13">
            <v>-4655.1093048049197</v>
          </cell>
        </row>
        <row r="14">
          <cell r="A14" t="str">
            <v>USD/MXN-Put-Sell</v>
          </cell>
          <cell r="B14">
            <v>-1.9579993542217109</v>
          </cell>
          <cell r="C14">
            <v>-1040.1115517443591</v>
          </cell>
          <cell r="D14">
            <v>-21214.639079073979</v>
          </cell>
          <cell r="E14">
            <v>-389692.74862295069</v>
          </cell>
          <cell r="F14">
            <v>-686249.57800577057</v>
          </cell>
          <cell r="G14">
            <v>-997197.97145005246</v>
          </cell>
          <cell r="H14">
            <v>-1202494.3512474149</v>
          </cell>
          <cell r="I14">
            <v>-1209933.1606487141</v>
          </cell>
          <cell r="J14">
            <v>-438079.08508759091</v>
          </cell>
          <cell r="K14">
            <v>-98669.722552610765</v>
          </cell>
          <cell r="L14">
            <v>-3407.0002882992699</v>
          </cell>
        </row>
        <row r="15">
          <cell r="A15" t="str">
            <v>USD/MXN-Put-Sell</v>
          </cell>
          <cell r="B15">
            <v>-1.2407124620810701</v>
          </cell>
          <cell r="C15">
            <v>-659.080587243943</v>
          </cell>
          <cell r="D15">
            <v>-13442.93961446257</v>
          </cell>
          <cell r="E15">
            <v>-246934.01892939181</v>
          </cell>
          <cell r="F15">
            <v>-434851.21774622588</v>
          </cell>
          <cell r="G15">
            <v>-631887.82349309535</v>
          </cell>
          <cell r="H15">
            <v>-761976.61861221446</v>
          </cell>
          <cell r="I15">
            <v>-766690.3196189783</v>
          </cell>
          <cell r="J15">
            <v>-277594.66777827218</v>
          </cell>
          <cell r="K15">
            <v>-62523.38854818829</v>
          </cell>
          <cell r="L15">
            <v>-2158.8912717935718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5:R21"/>
  <sheetViews>
    <sheetView tabSelected="1" workbookViewId="0">
      <selection activeCell="A6" sqref="A6"/>
    </sheetView>
  </sheetViews>
  <sheetFormatPr defaultRowHeight="15" x14ac:dyDescent="0.25"/>
  <cols>
    <col min="2" max="2" width="8.140625" bestFit="1" customWidth="1"/>
    <col min="3" max="3" width="10.7109375" bestFit="1" customWidth="1"/>
    <col min="4" max="4" width="10.7109375" customWidth="1"/>
    <col min="5" max="8" width="10.7109375" bestFit="1" customWidth="1"/>
    <col min="10" max="10" width="16.28515625" bestFit="1" customWidth="1"/>
    <col min="11" max="11" width="14.28515625" bestFit="1" customWidth="1"/>
    <col min="12" max="12" width="9" bestFit="1" customWidth="1"/>
    <col min="14" max="14" width="9.7109375" bestFit="1" customWidth="1"/>
    <col min="16" max="16" width="10.42578125" customWidth="1"/>
    <col min="17" max="18" width="12.140625" customWidth="1"/>
  </cols>
  <sheetData>
    <row r="5" spans="1:18" x14ac:dyDescent="0.25">
      <c r="P5" s="5"/>
      <c r="Q5" s="5"/>
      <c r="R5" s="5"/>
    </row>
    <row r="6" spans="1:18" x14ac:dyDescent="0.25">
      <c r="A6" t="s">
        <v>12</v>
      </c>
      <c r="B6" t="s">
        <v>13</v>
      </c>
      <c r="C6" t="s">
        <v>14</v>
      </c>
      <c r="D6" t="s">
        <v>15</v>
      </c>
      <c r="E6" t="s">
        <v>1</v>
      </c>
      <c r="F6" t="s">
        <v>16</v>
      </c>
      <c r="G6" t="s">
        <v>17</v>
      </c>
      <c r="H6" t="s">
        <v>18</v>
      </c>
      <c r="I6" t="s">
        <v>19</v>
      </c>
      <c r="J6" t="s">
        <v>20</v>
      </c>
      <c r="K6" t="s">
        <v>21</v>
      </c>
      <c r="L6" t="s">
        <v>22</v>
      </c>
      <c r="M6" t="s">
        <v>23</v>
      </c>
      <c r="N6" t="s">
        <v>3</v>
      </c>
      <c r="O6" t="s">
        <v>4</v>
      </c>
      <c r="P6" s="5" t="s">
        <v>24</v>
      </c>
      <c r="Q6" s="5" t="s">
        <v>25</v>
      </c>
      <c r="R6" s="5" t="s">
        <v>10</v>
      </c>
    </row>
    <row r="7" spans="1:18" x14ac:dyDescent="0.25">
      <c r="A7">
        <v>1</v>
      </c>
      <c r="B7" t="s">
        <v>2</v>
      </c>
      <c r="C7" t="s">
        <v>0</v>
      </c>
      <c r="D7" t="s">
        <v>8</v>
      </c>
      <c r="E7" s="1">
        <v>44295</v>
      </c>
      <c r="F7">
        <v>12</v>
      </c>
      <c r="G7" s="1">
        <v>44307</v>
      </c>
      <c r="H7" s="1">
        <v>44309</v>
      </c>
      <c r="I7">
        <v>20.159400000000002</v>
      </c>
      <c r="J7">
        <v>20.5</v>
      </c>
      <c r="K7">
        <v>20.180900000000001</v>
      </c>
      <c r="L7" s="6">
        <v>50000000</v>
      </c>
      <c r="M7">
        <v>0.12867999999999999</v>
      </c>
      <c r="N7" s="2">
        <v>3.8469999999999997E-2</v>
      </c>
      <c r="O7">
        <v>0</v>
      </c>
      <c r="P7" s="5"/>
      <c r="Q7" s="5"/>
      <c r="R7" s="5"/>
    </row>
    <row r="8" spans="1:18" x14ac:dyDescent="0.25">
      <c r="A8">
        <v>1</v>
      </c>
      <c r="B8" t="s">
        <v>2</v>
      </c>
      <c r="C8" t="s">
        <v>0</v>
      </c>
      <c r="D8" t="s">
        <v>9</v>
      </c>
      <c r="E8" s="1">
        <v>44295</v>
      </c>
      <c r="F8">
        <v>12</v>
      </c>
      <c r="G8" s="1">
        <v>44307</v>
      </c>
      <c r="H8" s="1">
        <v>44309</v>
      </c>
      <c r="I8">
        <v>20.159400000000002</v>
      </c>
      <c r="J8">
        <v>20.5</v>
      </c>
      <c r="K8">
        <v>20.180900000000001</v>
      </c>
      <c r="L8" s="6">
        <v>35000000</v>
      </c>
      <c r="M8">
        <v>0.12867999999999999</v>
      </c>
      <c r="N8" s="2">
        <v>3.8469999999999997E-2</v>
      </c>
      <c r="O8">
        <v>0</v>
      </c>
      <c r="P8" s="5"/>
      <c r="Q8" s="5"/>
      <c r="R8" s="5"/>
    </row>
    <row r="9" spans="1:18" x14ac:dyDescent="0.25">
      <c r="A9">
        <v>1</v>
      </c>
      <c r="B9" t="s">
        <v>2</v>
      </c>
      <c r="C9" t="s">
        <v>0</v>
      </c>
      <c r="D9" t="s">
        <v>9</v>
      </c>
      <c r="E9" s="1">
        <v>44295</v>
      </c>
      <c r="F9">
        <v>12</v>
      </c>
      <c r="G9" s="1">
        <v>44307</v>
      </c>
      <c r="H9" s="1">
        <v>44309</v>
      </c>
      <c r="I9">
        <v>20.159400000000002</v>
      </c>
      <c r="J9">
        <v>20.5</v>
      </c>
      <c r="K9">
        <v>20.180900000000001</v>
      </c>
      <c r="L9" s="6">
        <v>15000000</v>
      </c>
      <c r="M9">
        <v>0.12867999999999999</v>
      </c>
      <c r="N9" s="2">
        <v>3.8469999999999997E-2</v>
      </c>
      <c r="O9">
        <v>0</v>
      </c>
      <c r="P9" s="5"/>
      <c r="Q9" s="5"/>
      <c r="R9" s="5"/>
    </row>
    <row r="10" spans="1:18" x14ac:dyDescent="0.25">
      <c r="A10">
        <v>1</v>
      </c>
      <c r="B10" t="s">
        <v>2</v>
      </c>
      <c r="C10" t="s">
        <v>0</v>
      </c>
      <c r="D10" t="s">
        <v>8</v>
      </c>
      <c r="E10" s="1">
        <v>44295</v>
      </c>
      <c r="F10">
        <v>12</v>
      </c>
      <c r="G10" s="1">
        <v>44307</v>
      </c>
      <c r="H10" s="1">
        <v>44309</v>
      </c>
      <c r="I10">
        <v>20.159400000000002</v>
      </c>
      <c r="J10">
        <v>20.5</v>
      </c>
      <c r="K10">
        <v>20.180900000000001</v>
      </c>
      <c r="L10" s="6">
        <v>25000000</v>
      </c>
      <c r="M10">
        <v>0.12867999999999999</v>
      </c>
      <c r="N10" s="2">
        <v>3.8469999999999997E-2</v>
      </c>
      <c r="O10">
        <v>0</v>
      </c>
      <c r="P10" s="5"/>
      <c r="Q10" s="5"/>
      <c r="R10" s="5"/>
    </row>
    <row r="11" spans="1:18" x14ac:dyDescent="0.25">
      <c r="A11">
        <v>1</v>
      </c>
      <c r="B11" t="s">
        <v>2</v>
      </c>
      <c r="C11" t="s">
        <v>6</v>
      </c>
      <c r="D11" t="s">
        <v>8</v>
      </c>
      <c r="E11" s="1">
        <v>44295</v>
      </c>
      <c r="F11">
        <v>12</v>
      </c>
      <c r="G11" s="1">
        <v>44307</v>
      </c>
      <c r="H11" s="1">
        <v>44309</v>
      </c>
      <c r="I11">
        <v>20.159400000000002</v>
      </c>
      <c r="J11">
        <v>20.5</v>
      </c>
      <c r="K11">
        <v>20.180900000000001</v>
      </c>
      <c r="L11" s="6">
        <v>35000000</v>
      </c>
      <c r="M11">
        <v>0.12867999999999999</v>
      </c>
      <c r="N11" s="2">
        <v>3.8469999999999997E-2</v>
      </c>
      <c r="O11">
        <v>0</v>
      </c>
      <c r="P11" s="5"/>
      <c r="Q11" s="5"/>
      <c r="R11" s="5"/>
    </row>
    <row r="12" spans="1:18" x14ac:dyDescent="0.25">
      <c r="A12">
        <v>1</v>
      </c>
      <c r="B12" t="s">
        <v>2</v>
      </c>
      <c r="C12" t="s">
        <v>0</v>
      </c>
      <c r="D12" t="s">
        <v>8</v>
      </c>
      <c r="E12" s="1">
        <v>44295</v>
      </c>
      <c r="F12">
        <v>12</v>
      </c>
      <c r="G12" s="1">
        <v>44307</v>
      </c>
      <c r="H12" s="1">
        <v>44309</v>
      </c>
      <c r="I12">
        <v>20.159400000000002</v>
      </c>
      <c r="J12">
        <v>20.5</v>
      </c>
      <c r="K12">
        <v>20.180900000000001</v>
      </c>
      <c r="L12" s="6">
        <v>45000000</v>
      </c>
      <c r="M12">
        <v>0.12867999999999999</v>
      </c>
      <c r="N12" s="2">
        <v>3.8469999999999997E-2</v>
      </c>
      <c r="O12">
        <v>0</v>
      </c>
      <c r="P12" s="5"/>
      <c r="Q12" s="5"/>
      <c r="R12" s="5"/>
    </row>
    <row r="13" spans="1:18" x14ac:dyDescent="0.25">
      <c r="A13">
        <v>1</v>
      </c>
      <c r="B13" t="s">
        <v>2</v>
      </c>
      <c r="C13" t="s">
        <v>0</v>
      </c>
      <c r="D13" t="s">
        <v>8</v>
      </c>
      <c r="E13" s="1">
        <v>44295</v>
      </c>
      <c r="F13">
        <v>12</v>
      </c>
      <c r="G13" s="1">
        <v>44307</v>
      </c>
      <c r="H13" s="1">
        <v>44309</v>
      </c>
      <c r="I13">
        <v>20.159400000000002</v>
      </c>
      <c r="J13">
        <v>20.5</v>
      </c>
      <c r="K13">
        <v>20.180900000000001</v>
      </c>
      <c r="L13" s="6">
        <v>12000000</v>
      </c>
      <c r="M13">
        <v>0.12867999999999999</v>
      </c>
      <c r="N13" s="2">
        <v>3.8469999999999997E-2</v>
      </c>
      <c r="O13">
        <v>0</v>
      </c>
      <c r="P13" s="5"/>
      <c r="Q13" s="5"/>
      <c r="R13" s="5"/>
    </row>
    <row r="14" spans="1:18" x14ac:dyDescent="0.25">
      <c r="A14">
        <v>1</v>
      </c>
      <c r="B14" t="s">
        <v>2</v>
      </c>
      <c r="C14" t="s">
        <v>0</v>
      </c>
      <c r="D14" t="s">
        <v>8</v>
      </c>
      <c r="E14" s="1">
        <v>44295</v>
      </c>
      <c r="F14">
        <v>12</v>
      </c>
      <c r="G14" s="1">
        <v>44307</v>
      </c>
      <c r="H14" s="1">
        <v>44309</v>
      </c>
      <c r="I14">
        <v>20.159400000000002</v>
      </c>
      <c r="J14">
        <v>20.5</v>
      </c>
      <c r="K14">
        <v>20.180900000000001</v>
      </c>
      <c r="L14" s="6">
        <v>20428571.428571399</v>
      </c>
      <c r="M14">
        <v>0.12867999999999999</v>
      </c>
      <c r="N14" s="2">
        <v>3.8469999999999997E-2</v>
      </c>
      <c r="O14">
        <v>0</v>
      </c>
      <c r="P14" s="5"/>
      <c r="Q14" s="5"/>
      <c r="R14" s="5"/>
    </row>
    <row r="15" spans="1:18" x14ac:dyDescent="0.25">
      <c r="A15">
        <v>1</v>
      </c>
      <c r="B15" t="s">
        <v>2</v>
      </c>
      <c r="C15" t="s">
        <v>6</v>
      </c>
      <c r="D15" t="s">
        <v>8</v>
      </c>
      <c r="E15" s="1">
        <v>44295</v>
      </c>
      <c r="F15">
        <v>12</v>
      </c>
      <c r="G15" s="1">
        <v>44307</v>
      </c>
      <c r="H15" s="1">
        <v>44309</v>
      </c>
      <c r="I15">
        <v>20.159400000000002</v>
      </c>
      <c r="J15">
        <v>20.5</v>
      </c>
      <c r="K15">
        <v>20.180900000000001</v>
      </c>
      <c r="L15" s="6">
        <v>17785714.285714298</v>
      </c>
      <c r="M15" s="3">
        <v>0.12867999999999999</v>
      </c>
      <c r="N15" s="2">
        <v>3.8469999999999997E-2</v>
      </c>
      <c r="O15">
        <v>0</v>
      </c>
      <c r="P15" s="5"/>
      <c r="Q15" s="5"/>
      <c r="R15" s="5"/>
    </row>
    <row r="16" spans="1:18" x14ac:dyDescent="0.25">
      <c r="A16">
        <v>1</v>
      </c>
      <c r="B16" t="s">
        <v>2</v>
      </c>
      <c r="C16" t="s">
        <v>0</v>
      </c>
      <c r="D16" t="s">
        <v>8</v>
      </c>
      <c r="E16" s="1">
        <v>44295</v>
      </c>
      <c r="F16">
        <v>12</v>
      </c>
      <c r="G16" s="1">
        <v>44307</v>
      </c>
      <c r="H16" s="1">
        <v>44309</v>
      </c>
      <c r="I16">
        <v>20.159400000000002</v>
      </c>
      <c r="J16">
        <v>20.5</v>
      </c>
      <c r="K16">
        <v>20.180900000000001</v>
      </c>
      <c r="L16" s="6">
        <v>15142857.142857101</v>
      </c>
      <c r="M16" s="3">
        <v>0.12867999999999999</v>
      </c>
      <c r="N16" s="2">
        <v>3.8469999999999997E-2</v>
      </c>
      <c r="O16">
        <v>0</v>
      </c>
      <c r="P16" s="5"/>
      <c r="Q16" s="5"/>
      <c r="R16" s="5"/>
    </row>
    <row r="17" spans="1:18" x14ac:dyDescent="0.25">
      <c r="A17">
        <v>1</v>
      </c>
      <c r="B17" t="s">
        <v>2</v>
      </c>
      <c r="C17" t="s">
        <v>0</v>
      </c>
      <c r="D17" t="s">
        <v>8</v>
      </c>
      <c r="E17" s="1">
        <v>44295</v>
      </c>
      <c r="F17">
        <v>12</v>
      </c>
      <c r="G17" s="1">
        <v>44307</v>
      </c>
      <c r="H17" s="1">
        <v>44309</v>
      </c>
      <c r="I17">
        <v>20.159400000000002</v>
      </c>
      <c r="J17">
        <v>20.5</v>
      </c>
      <c r="K17">
        <v>20.180900000000001</v>
      </c>
      <c r="L17" s="6">
        <v>12500000</v>
      </c>
      <c r="M17" s="3">
        <v>0.12867999999999999</v>
      </c>
      <c r="N17" s="2">
        <v>3.8469999999999997E-2</v>
      </c>
      <c r="O17">
        <v>0</v>
      </c>
      <c r="P17" s="5"/>
      <c r="Q17" s="5"/>
      <c r="R17" s="5"/>
    </row>
    <row r="18" spans="1:18" x14ac:dyDescent="0.25">
      <c r="A18">
        <v>1</v>
      </c>
      <c r="B18" t="s">
        <v>2</v>
      </c>
      <c r="C18" t="s">
        <v>0</v>
      </c>
      <c r="D18" t="s">
        <v>8</v>
      </c>
      <c r="E18" s="1">
        <v>44295</v>
      </c>
      <c r="F18">
        <v>12</v>
      </c>
      <c r="G18" s="1">
        <v>44307</v>
      </c>
      <c r="H18" s="1">
        <v>44309</v>
      </c>
      <c r="I18">
        <v>20.159400000000002</v>
      </c>
      <c r="J18">
        <v>20.5</v>
      </c>
      <c r="K18">
        <v>20.180900000000001</v>
      </c>
      <c r="L18" s="6">
        <v>9857142.8571428303</v>
      </c>
      <c r="M18" s="3">
        <v>0.12867999999999999</v>
      </c>
      <c r="N18" s="2">
        <v>3.8469999999999997E-2</v>
      </c>
      <c r="O18">
        <v>0</v>
      </c>
      <c r="P18" s="5"/>
      <c r="Q18" s="5"/>
      <c r="R18" s="5"/>
    </row>
    <row r="19" spans="1:18" x14ac:dyDescent="0.25">
      <c r="A19">
        <v>1</v>
      </c>
      <c r="B19" t="s">
        <v>2</v>
      </c>
      <c r="C19" t="s">
        <v>0</v>
      </c>
      <c r="D19" t="s">
        <v>8</v>
      </c>
      <c r="E19" s="1">
        <v>44295</v>
      </c>
      <c r="F19">
        <v>12</v>
      </c>
      <c r="G19" s="1">
        <v>44307</v>
      </c>
      <c r="H19" s="1">
        <v>44309</v>
      </c>
      <c r="I19">
        <v>20.159400000000002</v>
      </c>
      <c r="J19">
        <v>20.5</v>
      </c>
      <c r="K19">
        <v>20.180900000000001</v>
      </c>
      <c r="L19" s="6">
        <v>7214285.7142857304</v>
      </c>
      <c r="M19" s="3">
        <v>0.12867999999999999</v>
      </c>
      <c r="N19" s="2">
        <v>3.8469999999999997E-2</v>
      </c>
      <c r="O19">
        <v>0</v>
      </c>
      <c r="P19" s="5"/>
      <c r="Q19" s="5"/>
      <c r="R19" s="5"/>
    </row>
    <row r="20" spans="1:18" x14ac:dyDescent="0.25">
      <c r="A20">
        <v>1</v>
      </c>
      <c r="B20" t="s">
        <v>2</v>
      </c>
      <c r="C20" t="s">
        <v>0</v>
      </c>
      <c r="D20" t="s">
        <v>8</v>
      </c>
      <c r="E20" s="1">
        <v>44295</v>
      </c>
      <c r="F20">
        <v>12</v>
      </c>
      <c r="G20" s="1">
        <v>44307</v>
      </c>
      <c r="H20" s="1">
        <v>44309</v>
      </c>
      <c r="I20">
        <v>20.159400000000002</v>
      </c>
      <c r="J20">
        <v>20.5</v>
      </c>
      <c r="K20">
        <v>20.180900000000001</v>
      </c>
      <c r="L20" s="6">
        <v>4571428.5714285299</v>
      </c>
      <c r="M20" s="3">
        <v>0.12867999999999999</v>
      </c>
      <c r="N20" s="2">
        <v>3.8469999999999997E-2</v>
      </c>
      <c r="O20">
        <v>0</v>
      </c>
      <c r="P20" s="5"/>
      <c r="Q20" s="5"/>
      <c r="R20" s="5"/>
    </row>
    <row r="21" spans="1:18" x14ac:dyDescent="0.25">
      <c r="D21" s="1"/>
      <c r="F21" s="1"/>
      <c r="G21" s="1"/>
      <c r="K21" s="4"/>
      <c r="L21" s="3"/>
      <c r="M21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alva_bas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514350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119D4D-9BDB-48CA-984C-9C52B01E580A}">
          <x14:formula1>
            <xm:f>dic!$C$2:$C$3</xm:f>
          </x14:formula1>
          <xm:sqref>D7:D20</xm:sqref>
        </x14:dataValidation>
        <x14:dataValidation type="list" allowBlank="1" showInputMessage="1" showErrorMessage="1" xr:uid="{FB55AC56-0158-4A48-8438-CD594CA46D54}">
          <x14:formula1>
            <xm:f>dic!$A$2:$A$3</xm:f>
          </x14:formula1>
          <xm:sqref>B21 C7:C20</xm:sqref>
        </x14:dataValidation>
        <x14:dataValidation type="list" allowBlank="1" showInputMessage="1" showErrorMessage="1" xr:uid="{82FAE815-915E-4522-A88F-ED1E3A83CE9B}">
          <x14:formula1>
            <xm:f>dic!$E$2:$E$3</xm:f>
          </x14:formula1>
          <xm:sqref>A7:A20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D6B49-18BA-4D5A-A764-865E53A82087}">
  <sheetPr codeName="Planilha3"/>
  <dimension ref="A1:L15"/>
  <sheetViews>
    <sheetView workbookViewId="0">
      <selection activeCell="E21" sqref="E21"/>
    </sheetView>
  </sheetViews>
  <sheetFormatPr defaultRowHeight="15" x14ac:dyDescent="0.25"/>
  <sheetData>
    <row r="1" spans="1:12" x14ac:dyDescent="0.25">
      <c r="B1" t="str">
        <f>[1]Gamma!B1</f>
        <v>Gamma -10%</v>
      </c>
      <c r="C1" t="str">
        <f>[1]Gamma!C1</f>
        <v>Gamma -7%</v>
      </c>
      <c r="D1" t="str">
        <f>[1]Gamma!D1</f>
        <v>Gamma -5%</v>
      </c>
      <c r="E1" t="str">
        <f>[1]Gamma!E1</f>
        <v>Gamma -2%</v>
      </c>
      <c r="F1" t="str">
        <f>[1]Gamma!F1</f>
        <v>Gamma -1%</v>
      </c>
      <c r="G1" t="str">
        <f>[1]Gamma!G1</f>
        <v>Gamma 0%</v>
      </c>
      <c r="H1" t="str">
        <f>[1]Gamma!H1</f>
        <v>Gamma 1%</v>
      </c>
      <c r="I1" t="str">
        <f>[1]Gamma!I1</f>
        <v>Gamma 2%</v>
      </c>
      <c r="J1" t="str">
        <f>[1]Gamma!J1</f>
        <v>Gamma 5%</v>
      </c>
      <c r="K1" t="str">
        <f>[1]Gamma!K1</f>
        <v>Gamma 7%</v>
      </c>
      <c r="L1" t="str">
        <f>[1]Gamma!L1</f>
        <v>Gamma 10%</v>
      </c>
    </row>
    <row r="2" spans="1:12" x14ac:dyDescent="0.25">
      <c r="A2" t="str">
        <f>[1]Gamma!A2</f>
        <v>USD/MXN-Put-Sell</v>
      </c>
      <c r="B2">
        <f>[1]Gamma!B2</f>
        <v>-13.57029255401183</v>
      </c>
      <c r="C2">
        <f>[1]Gamma!C2</f>
        <v>-7208.6939229806922</v>
      </c>
      <c r="D2">
        <f>[1]Gamma!D2</f>
        <v>-147032.15203318559</v>
      </c>
      <c r="E2">
        <f>[1]Gamma!E2</f>
        <v>-2700840.832040247</v>
      </c>
      <c r="F2">
        <f>[1]Gamma!F2</f>
        <v>-4756185.1940993899</v>
      </c>
      <c r="G2">
        <f>[1]Gamma!G2</f>
        <v>-6911273.0694557941</v>
      </c>
      <c r="H2">
        <f>[1]Gamma!H2</f>
        <v>-8334119.2660711706</v>
      </c>
      <c r="I2">
        <f>[1]Gamma!I2</f>
        <v>-8385675.3708326528</v>
      </c>
      <c r="J2">
        <f>[1]Gamma!J2</f>
        <v>-3036191.6788248811</v>
      </c>
      <c r="K2">
        <f>[1]Gamma!K2</f>
        <v>-683849.56224581564</v>
      </c>
      <c r="L2">
        <f>[1]Gamma!L2</f>
        <v>-23612.873285242411</v>
      </c>
    </row>
    <row r="3" spans="1:12" x14ac:dyDescent="0.25">
      <c r="A3" t="str">
        <f>[1]Gamma!A3</f>
        <v>USD/MXN-Put-Buy</v>
      </c>
      <c r="B3">
        <f>[1]Gamma!B3</f>
        <v>9.4992047878082815</v>
      </c>
      <c r="C3">
        <f>[1]Gamma!C3</f>
        <v>5046.0857460864854</v>
      </c>
      <c r="D3">
        <f>[1]Gamma!D3</f>
        <v>102922.50642323001</v>
      </c>
      <c r="E3">
        <f>[1]Gamma!E3</f>
        <v>1890588.5824281729</v>
      </c>
      <c r="F3">
        <f>[1]Gamma!F3</f>
        <v>3329329.6358695729</v>
      </c>
      <c r="G3">
        <f>[1]Gamma!G3</f>
        <v>4837891.1486190548</v>
      </c>
      <c r="H3">
        <f>[1]Gamma!H3</f>
        <v>5833883.4862498213</v>
      </c>
      <c r="I3">
        <f>[1]Gamma!I3</f>
        <v>5869972.7595828567</v>
      </c>
      <c r="J3">
        <f>[1]Gamma!J3</f>
        <v>2125334.1751774158</v>
      </c>
      <c r="K3">
        <f>[1]Gamma!K3</f>
        <v>478694.69357207092</v>
      </c>
      <c r="L3">
        <f>[1]Gamma!L3</f>
        <v>16529.011299669692</v>
      </c>
    </row>
    <row r="4" spans="1:12" x14ac:dyDescent="0.25">
      <c r="A4" t="str">
        <f>[1]Gamma!A4</f>
        <v>USD/MXN-Put-Buy</v>
      </c>
      <c r="B4">
        <f>[1]Gamma!B4</f>
        <v>4.0710877662035498</v>
      </c>
      <c r="C4">
        <f>[1]Gamma!C4</f>
        <v>2162.6081768942081</v>
      </c>
      <c r="D4">
        <f>[1]Gamma!D4</f>
        <v>44109.645609955704</v>
      </c>
      <c r="E4">
        <f>[1]Gamma!E4</f>
        <v>810252.249612074</v>
      </c>
      <c r="F4">
        <f>[1]Gamma!F4</f>
        <v>1426855.5582298171</v>
      </c>
      <c r="G4">
        <f>[1]Gamma!G4</f>
        <v>2073381.9208367381</v>
      </c>
      <c r="H4">
        <f>[1]Gamma!H4</f>
        <v>2500235.7798213521</v>
      </c>
      <c r="I4">
        <f>[1]Gamma!I4</f>
        <v>2515702.6112497961</v>
      </c>
      <c r="J4">
        <f>[1]Gamma!J4</f>
        <v>910857.50364746409</v>
      </c>
      <c r="K4">
        <f>[1]Gamma!K4</f>
        <v>205154.8686737447</v>
      </c>
      <c r="L4">
        <f>[1]Gamma!L4</f>
        <v>7083.8619855727229</v>
      </c>
    </row>
    <row r="5" spans="1:12" x14ac:dyDescent="0.25">
      <c r="A5" t="str">
        <f>[1]Gamma!A5</f>
        <v>USD/MXN-Put-Sell</v>
      </c>
      <c r="B5">
        <f>[1]Gamma!B5</f>
        <v>-6.7851462770059152</v>
      </c>
      <c r="C5">
        <f>[1]Gamma!C5</f>
        <v>-3604.3469614903461</v>
      </c>
      <c r="D5">
        <f>[1]Gamma!D5</f>
        <v>-73516.076016592822</v>
      </c>
      <c r="E5">
        <f>[1]Gamma!E5</f>
        <v>-1350420.4160201231</v>
      </c>
      <c r="F5">
        <f>[1]Gamma!F5</f>
        <v>-2378092.597049695</v>
      </c>
      <c r="G5">
        <f>[1]Gamma!G5</f>
        <v>-3455636.534727897</v>
      </c>
      <c r="H5">
        <f>[1]Gamma!H5</f>
        <v>-4167059.6330355862</v>
      </c>
      <c r="I5">
        <f>[1]Gamma!I5</f>
        <v>-4192837.6854163259</v>
      </c>
      <c r="J5">
        <f>[1]Gamma!J5</f>
        <v>-1518095.8394124401</v>
      </c>
      <c r="K5">
        <f>[1]Gamma!K5</f>
        <v>-341924.78112290782</v>
      </c>
      <c r="L5">
        <f>[1]Gamma!L5</f>
        <v>-11806.436642621209</v>
      </c>
    </row>
    <row r="6" spans="1:12" x14ac:dyDescent="0.25">
      <c r="A6" t="str">
        <f>[1]Gamma!A6</f>
        <v>USD/MXN-Call-Sell</v>
      </c>
      <c r="B6">
        <f>[1]Gamma!B6</f>
        <v>-9.4992047878082815</v>
      </c>
      <c r="C6">
        <f>[1]Gamma!C6</f>
        <v>-5046.0857460864854</v>
      </c>
      <c r="D6">
        <f>[1]Gamma!D6</f>
        <v>-102922.50642323001</v>
      </c>
      <c r="E6">
        <f>[1]Gamma!E6</f>
        <v>-1890588.5824281729</v>
      </c>
      <c r="F6">
        <f>[1]Gamma!F6</f>
        <v>-3329329.6358695729</v>
      </c>
      <c r="G6">
        <f>[1]Gamma!G6</f>
        <v>-4837891.1486190548</v>
      </c>
      <c r="H6">
        <f>[1]Gamma!H6</f>
        <v>-5833883.4862498213</v>
      </c>
      <c r="I6">
        <f>[1]Gamma!I6</f>
        <v>-5869972.7595828567</v>
      </c>
      <c r="J6">
        <f>[1]Gamma!J6</f>
        <v>-2125334.1751774158</v>
      </c>
      <c r="K6">
        <f>[1]Gamma!K6</f>
        <v>-478694.69357207092</v>
      </c>
      <c r="L6">
        <f>[1]Gamma!L6</f>
        <v>-16529.011299669692</v>
      </c>
    </row>
    <row r="7" spans="1:12" x14ac:dyDescent="0.25">
      <c r="A7" t="str">
        <f>[1]Gamma!A7</f>
        <v>USD/MXN-Put-Sell</v>
      </c>
      <c r="B7">
        <f>[1]Gamma!B7</f>
        <v>-12.21326329861065</v>
      </c>
      <c r="C7">
        <f>[1]Gamma!C7</f>
        <v>-6487.8245306826229</v>
      </c>
      <c r="D7">
        <f>[1]Gamma!D7</f>
        <v>-132328.9368298671</v>
      </c>
      <c r="E7">
        <f>[1]Gamma!E7</f>
        <v>-2430756.7488362221</v>
      </c>
      <c r="F7">
        <f>[1]Gamma!F7</f>
        <v>-4280566.6746894503</v>
      </c>
      <c r="G7">
        <f>[1]Gamma!G7</f>
        <v>-6220145.762510214</v>
      </c>
      <c r="H7">
        <f>[1]Gamma!H7</f>
        <v>-7500707.3394640554</v>
      </c>
      <c r="I7">
        <f>[1]Gamma!I7</f>
        <v>-7547107.8337493883</v>
      </c>
      <c r="J7">
        <f>[1]Gamma!J7</f>
        <v>-2732572.510942393</v>
      </c>
      <c r="K7">
        <f>[1]Gamma!K7</f>
        <v>-615464.60602123407</v>
      </c>
      <c r="L7">
        <f>[1]Gamma!L7</f>
        <v>-21251.585956718169</v>
      </c>
    </row>
    <row r="8" spans="1:12" x14ac:dyDescent="0.25">
      <c r="A8" t="str">
        <f>[1]Gamma!A8</f>
        <v>USD/MXN-Put-Sell</v>
      </c>
      <c r="B8">
        <f>[1]Gamma!B8</f>
        <v>-3.25687021296284</v>
      </c>
      <c r="C8">
        <f>[1]Gamma!C8</f>
        <v>-1730.086541515366</v>
      </c>
      <c r="D8">
        <f>[1]Gamma!D8</f>
        <v>-35287.716487964557</v>
      </c>
      <c r="E8">
        <f>[1]Gamma!E8</f>
        <v>-648201.79968965927</v>
      </c>
      <c r="F8">
        <f>[1]Gamma!F8</f>
        <v>-1141484.446583854</v>
      </c>
      <c r="G8">
        <f>[1]Gamma!G8</f>
        <v>-1658705.536669391</v>
      </c>
      <c r="H8">
        <f>[1]Gamma!H8</f>
        <v>-2000188.6238570821</v>
      </c>
      <c r="I8">
        <f>[1]Gamma!I8</f>
        <v>-2012562.0889998369</v>
      </c>
      <c r="J8">
        <f>[1]Gamma!J8</f>
        <v>-728686.00291797135</v>
      </c>
      <c r="K8">
        <f>[1]Gamma!K8</f>
        <v>-164123.89493899571</v>
      </c>
      <c r="L8">
        <f>[1]Gamma!L8</f>
        <v>-5667.0895884581787</v>
      </c>
    </row>
    <row r="9" spans="1:12" x14ac:dyDescent="0.25">
      <c r="A9" t="str">
        <f>[1]Gamma!A9</f>
        <v>USD/MXN-Put-Sell</v>
      </c>
      <c r="B9">
        <f>[1]Gamma!B9</f>
        <v>-5.544433814924826</v>
      </c>
      <c r="C9">
        <f>[1]Gamma!C9</f>
        <v>-2945.2663742463928</v>
      </c>
      <c r="D9">
        <f>[1]Gamma!D9</f>
        <v>-60073.136402130061</v>
      </c>
      <c r="E9">
        <f>[1]Gamma!E9</f>
        <v>-1103486.3970907279</v>
      </c>
      <c r="F9">
        <f>[1]Gamma!F9</f>
        <v>-1943241.3793034621</v>
      </c>
      <c r="G9">
        <f>[1]Gamma!G9</f>
        <v>-2823748.7112347912</v>
      </c>
      <c r="H9">
        <f>[1]Gamma!H9</f>
        <v>-3405083.0144233601</v>
      </c>
      <c r="I9">
        <f>[1]Gamma!I9</f>
        <v>-3426147.3657973362</v>
      </c>
      <c r="J9">
        <f>[1]Gamma!J9</f>
        <v>-1240501.1716341639</v>
      </c>
      <c r="K9">
        <f>[1]Gamma!K9</f>
        <v>-279401.39257471857</v>
      </c>
      <c r="L9">
        <f>[1]Gamma!L9</f>
        <v>-9647.5453708276018</v>
      </c>
    </row>
    <row r="10" spans="1:12" x14ac:dyDescent="0.25">
      <c r="A10" t="str">
        <f>[1]Gamma!A10</f>
        <v>USD/MXN-Call-Sell</v>
      </c>
      <c r="B10">
        <f>[1]Gamma!B10</f>
        <v>-4.8271469227842116</v>
      </c>
      <c r="C10">
        <f>[1]Gamma!C10</f>
        <v>-2564.2354097459911</v>
      </c>
      <c r="D10">
        <f>[1]Gamma!D10</f>
        <v>-52301.436937518927</v>
      </c>
      <c r="E10">
        <f>[1]Gamma!E10</f>
        <v>-960727.66739717429</v>
      </c>
      <c r="F10">
        <f>[1]Gamma!F10</f>
        <v>-1691843.0190439271</v>
      </c>
      <c r="G10">
        <f>[1]Gamma!G10</f>
        <v>-2458438.563277849</v>
      </c>
      <c r="H10">
        <f>[1]Gamma!H10</f>
        <v>-2964565.2817881759</v>
      </c>
      <c r="I10">
        <f>[1]Gamma!I10</f>
        <v>-2982904.5247676182</v>
      </c>
      <c r="J10">
        <f>[1]Gamma!J10</f>
        <v>-1080016.7543248511</v>
      </c>
      <c r="K10">
        <f>[1]Gamma!K10</f>
        <v>-243255.05857029749</v>
      </c>
      <c r="L10">
        <f>[1]Gamma!L10</f>
        <v>-8399.4363543219497</v>
      </c>
    </row>
    <row r="11" spans="1:12" x14ac:dyDescent="0.25">
      <c r="A11" t="str">
        <f>[1]Gamma!A11</f>
        <v>USD/MXN-Put-Sell</v>
      </c>
      <c r="B11">
        <f>[1]Gamma!B11</f>
        <v>-4.1098600306435724</v>
      </c>
      <c r="C11">
        <f>[1]Gamma!C11</f>
        <v>-2183.2044452455748</v>
      </c>
      <c r="D11">
        <f>[1]Gamma!D11</f>
        <v>-44529.737472907538</v>
      </c>
      <c r="E11">
        <f>[1]Gamma!E11</f>
        <v>-817968.9377036154</v>
      </c>
      <c r="F11">
        <f>[1]Gamma!F11</f>
        <v>-1440444.658784383</v>
      </c>
      <c r="G11">
        <f>[1]Gamma!G11</f>
        <v>-2093128.415320891</v>
      </c>
      <c r="H11">
        <f>[1]Gamma!H11</f>
        <v>-2524047.5491529759</v>
      </c>
      <c r="I11">
        <f>[1]Gamma!I11</f>
        <v>-2539661.6837378819</v>
      </c>
      <c r="J11">
        <f>[1]Gamma!J11</f>
        <v>-919532.33701553266</v>
      </c>
      <c r="K11">
        <f>[1]Gamma!K11</f>
        <v>-207108.72456587499</v>
      </c>
      <c r="L11">
        <f>[1]Gamma!L11</f>
        <v>-7151.3273378162539</v>
      </c>
    </row>
    <row r="12" spans="1:12" x14ac:dyDescent="0.25">
      <c r="A12" t="str">
        <f>[1]Gamma!A12</f>
        <v>USD/MXN-Put-Sell</v>
      </c>
      <c r="B12">
        <f>[1]Gamma!B12</f>
        <v>-3.3925731385029581</v>
      </c>
      <c r="C12">
        <f>[1]Gamma!C12</f>
        <v>-1802.173480745173</v>
      </c>
      <c r="D12">
        <f>[1]Gamma!D12</f>
        <v>-36758.038008296411</v>
      </c>
      <c r="E12">
        <f>[1]Gamma!E12</f>
        <v>-675210.20801006164</v>
      </c>
      <c r="F12">
        <f>[1]Gamma!F12</f>
        <v>-1189046.298524847</v>
      </c>
      <c r="G12">
        <f>[1]Gamma!G12</f>
        <v>-1727818.267363949</v>
      </c>
      <c r="H12">
        <f>[1]Gamma!H12</f>
        <v>-2083529.8165177931</v>
      </c>
      <c r="I12">
        <f>[1]Gamma!I12</f>
        <v>-2096418.842708163</v>
      </c>
      <c r="J12">
        <f>[1]Gamma!J12</f>
        <v>-759047.91970622016</v>
      </c>
      <c r="K12">
        <f>[1]Gamma!K12</f>
        <v>-170962.39056145391</v>
      </c>
      <c r="L12">
        <f>[1]Gamma!L12</f>
        <v>-5903.2183213106027</v>
      </c>
    </row>
    <row r="13" spans="1:12" x14ac:dyDescent="0.25">
      <c r="A13" t="str">
        <f>[1]Gamma!A13</f>
        <v>USD/MXN-Put-Sell</v>
      </c>
      <c r="B13">
        <f>[1]Gamma!B13</f>
        <v>-2.675286246362325</v>
      </c>
      <c r="C13">
        <f>[1]Gamma!C13</f>
        <v>-1421.1425162447611</v>
      </c>
      <c r="D13">
        <f>[1]Gamma!D13</f>
        <v>-28986.338543685099</v>
      </c>
      <c r="E13">
        <f>[1]Gamma!E13</f>
        <v>-532451.47831650439</v>
      </c>
      <c r="F13">
        <f>[1]Gamma!F13</f>
        <v>-937647.93826530559</v>
      </c>
      <c r="G13">
        <f>[1]Gamma!G13</f>
        <v>-1362508.1194069949</v>
      </c>
      <c r="H13">
        <f>[1]Gamma!H13</f>
        <v>-1643012.083882598</v>
      </c>
      <c r="I13">
        <f>[1]Gamma!I13</f>
        <v>-1653176.001678433</v>
      </c>
      <c r="J13">
        <f>[1]Gamma!J13</f>
        <v>-598563.50239690347</v>
      </c>
      <c r="K13">
        <f>[1]Gamma!K13</f>
        <v>-134816.05655703181</v>
      </c>
      <c r="L13">
        <f>[1]Gamma!L13</f>
        <v>-4655.1093048049197</v>
      </c>
    </row>
    <row r="14" spans="1:12" x14ac:dyDescent="0.25">
      <c r="A14" t="str">
        <f>[1]Gamma!A14</f>
        <v>USD/MXN-Put-Sell</v>
      </c>
      <c r="B14">
        <f>[1]Gamma!B14</f>
        <v>-1.9579993542217109</v>
      </c>
      <c r="C14">
        <f>[1]Gamma!C14</f>
        <v>-1040.1115517443591</v>
      </c>
      <c r="D14">
        <f>[1]Gamma!D14</f>
        <v>-21214.639079073979</v>
      </c>
      <c r="E14">
        <f>[1]Gamma!E14</f>
        <v>-389692.74862295069</v>
      </c>
      <c r="F14">
        <f>[1]Gamma!F14</f>
        <v>-686249.57800577057</v>
      </c>
      <c r="G14">
        <f>[1]Gamma!G14</f>
        <v>-997197.97145005246</v>
      </c>
      <c r="H14">
        <f>[1]Gamma!H14</f>
        <v>-1202494.3512474149</v>
      </c>
      <c r="I14">
        <f>[1]Gamma!I14</f>
        <v>-1209933.1606487141</v>
      </c>
      <c r="J14">
        <f>[1]Gamma!J14</f>
        <v>-438079.08508759091</v>
      </c>
      <c r="K14">
        <f>[1]Gamma!K14</f>
        <v>-98669.722552610765</v>
      </c>
      <c r="L14">
        <f>[1]Gamma!L14</f>
        <v>-3407.0002882992699</v>
      </c>
    </row>
    <row r="15" spans="1:12" x14ac:dyDescent="0.25">
      <c r="A15" t="str">
        <f>[1]Gamma!A15</f>
        <v>USD/MXN-Put-Sell</v>
      </c>
      <c r="B15">
        <f>[1]Gamma!B15</f>
        <v>-1.2407124620810701</v>
      </c>
      <c r="C15">
        <f>[1]Gamma!C15</f>
        <v>-659.080587243943</v>
      </c>
      <c r="D15">
        <f>[1]Gamma!D15</f>
        <v>-13442.93961446257</v>
      </c>
      <c r="E15">
        <f>[1]Gamma!E15</f>
        <v>-246934.01892939181</v>
      </c>
      <c r="F15">
        <f>[1]Gamma!F15</f>
        <v>-434851.21774622588</v>
      </c>
      <c r="G15">
        <f>[1]Gamma!G15</f>
        <v>-631887.82349309535</v>
      </c>
      <c r="H15">
        <f>[1]Gamma!H15</f>
        <v>-761976.61861221446</v>
      </c>
      <c r="I15">
        <f>[1]Gamma!I15</f>
        <v>-766690.3196189783</v>
      </c>
      <c r="J15">
        <f>[1]Gamma!J15</f>
        <v>-277594.66777827218</v>
      </c>
      <c r="K15">
        <f>[1]Gamma!K15</f>
        <v>-62523.38854818829</v>
      </c>
      <c r="L15">
        <f>[1]Gamma!L15</f>
        <v>-2158.8912717935718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53362-4C2B-4E3F-90EE-4F3218DFCF6D}">
  <sheetPr codeName="Planilha4"/>
  <dimension ref="A1:L15"/>
  <sheetViews>
    <sheetView workbookViewId="0">
      <selection activeCell="F19" sqref="F19"/>
    </sheetView>
  </sheetViews>
  <sheetFormatPr defaultRowHeight="15" x14ac:dyDescent="0.25"/>
  <sheetData>
    <row r="1" spans="1:12" x14ac:dyDescent="0.25">
      <c r="B1" t="str">
        <f>[1]Delta!B1</f>
        <v>Delta -10%</v>
      </c>
      <c r="C1" t="str">
        <f>[1]Delta!C1</f>
        <v>Delta -7%</v>
      </c>
      <c r="D1" t="str">
        <f>[1]Delta!D1</f>
        <v>Delta -5%</v>
      </c>
      <c r="E1" t="str">
        <f>[1]Delta!E1</f>
        <v>Delta -2%</v>
      </c>
      <c r="F1" t="str">
        <f>[1]Delta!F1</f>
        <v>Delta -1%</v>
      </c>
      <c r="G1" t="str">
        <f>[1]Delta!G1</f>
        <v>Delta 0%</v>
      </c>
      <c r="H1" t="str">
        <f>[1]Delta!H1</f>
        <v>Delta 1%</v>
      </c>
      <c r="I1" t="str">
        <f>[1]Delta!I1</f>
        <v>Delta 2%</v>
      </c>
      <c r="J1" t="str">
        <f>[1]Delta!J1</f>
        <v>Delta 5%</v>
      </c>
      <c r="K1" t="str">
        <f>[1]Delta!K1</f>
        <v>Delta 7%</v>
      </c>
      <c r="L1" t="str">
        <f>[1]Delta!L1</f>
        <v>Delta 10%</v>
      </c>
    </row>
    <row r="2" spans="1:12" x14ac:dyDescent="0.25">
      <c r="A2" t="str">
        <f>[1]Delta!A2</f>
        <v>USD/MXN-Put-Sell</v>
      </c>
      <c r="B2">
        <f>[1]Delta!B2</f>
        <v>49999994.08072184</v>
      </c>
      <c r="C2">
        <f>[1]Delta!C2</f>
        <v>49995794.866941303</v>
      </c>
      <c r="D2">
        <f>[1]Delta!D2</f>
        <v>49890905.530715957</v>
      </c>
      <c r="E2">
        <f>[1]Delta!E2</f>
        <v>46775101.134906597</v>
      </c>
      <c r="F2">
        <f>[1]Delta!F2</f>
        <v>43029234.028813653</v>
      </c>
      <c r="G2">
        <f>[1]Delta!G2</f>
        <v>37143194.471060857</v>
      </c>
      <c r="H2">
        <f>[1]Delta!H2</f>
        <v>29464831.10046858</v>
      </c>
      <c r="I2">
        <f>[1]Delta!I2</f>
        <v>21104957.803327121</v>
      </c>
      <c r="J2">
        <f>[1]Delta!J2</f>
        <v>3754394.551999779</v>
      </c>
      <c r="K2">
        <f>[1]Delta!K2</f>
        <v>615042.22199346148</v>
      </c>
      <c r="L2">
        <f>[1]Delta!L2</f>
        <v>14938.712346568291</v>
      </c>
    </row>
    <row r="3" spans="1:12" x14ac:dyDescent="0.25">
      <c r="A3" t="str">
        <f>[1]Delta!A3</f>
        <v>USD/MXN-Put-Buy</v>
      </c>
      <c r="B3">
        <f>[1]Delta!B3</f>
        <v>-34999995.85650529</v>
      </c>
      <c r="C3">
        <f>[1]Delta!C3</f>
        <v>-34997056.406858914</v>
      </c>
      <c r="D3">
        <f>[1]Delta!D3</f>
        <v>-34923633.871501178</v>
      </c>
      <c r="E3">
        <f>[1]Delta!E3</f>
        <v>-32742570.794434618</v>
      </c>
      <c r="F3">
        <f>[1]Delta!F3</f>
        <v>-30120463.820169549</v>
      </c>
      <c r="G3">
        <f>[1]Delta!G3</f>
        <v>-26000236.1297426</v>
      </c>
      <c r="H3">
        <f>[1]Delta!H3</f>
        <v>-20625381.770328011</v>
      </c>
      <c r="I3">
        <f>[1]Delta!I3</f>
        <v>-14773470.46232898</v>
      </c>
      <c r="J3">
        <f>[1]Delta!J3</f>
        <v>-2628076.1863998449</v>
      </c>
      <c r="K3">
        <f>[1]Delta!K3</f>
        <v>-430529.55539542303</v>
      </c>
      <c r="L3">
        <f>[1]Delta!L3</f>
        <v>-10457.09864259781</v>
      </c>
    </row>
    <row r="4" spans="1:12" x14ac:dyDescent="0.25">
      <c r="A4" t="str">
        <f>[1]Delta!A4</f>
        <v>USD/MXN-Put-Buy</v>
      </c>
      <c r="B4">
        <f>[1]Delta!B4</f>
        <v>-14999998.224216551</v>
      </c>
      <c r="C4">
        <f>[1]Delta!C4</f>
        <v>-14998738.460082389</v>
      </c>
      <c r="D4">
        <f>[1]Delta!D4</f>
        <v>-14967271.659214791</v>
      </c>
      <c r="E4">
        <f>[1]Delta!E4</f>
        <v>-14032530.340471979</v>
      </c>
      <c r="F4">
        <f>[1]Delta!F4</f>
        <v>-12908770.20864409</v>
      </c>
      <c r="G4">
        <f>[1]Delta!G4</f>
        <v>-11142958.341318261</v>
      </c>
      <c r="H4">
        <f>[1]Delta!H4</f>
        <v>-8839449.3301405739</v>
      </c>
      <c r="I4">
        <f>[1]Delta!I4</f>
        <v>-6331487.3409981364</v>
      </c>
      <c r="J4">
        <f>[1]Delta!J4</f>
        <v>-1126318.365599934</v>
      </c>
      <c r="K4">
        <f>[1]Delta!K4</f>
        <v>-184512.66659803849</v>
      </c>
      <c r="L4">
        <f>[1]Delta!L4</f>
        <v>-4481.6137039704881</v>
      </c>
    </row>
    <row r="5" spans="1:12" x14ac:dyDescent="0.25">
      <c r="A5" t="str">
        <f>[1]Delta!A5</f>
        <v>USD/MXN-Put-Sell</v>
      </c>
      <c r="B5">
        <f>[1]Delta!B5</f>
        <v>24999997.04036092</v>
      </c>
      <c r="C5">
        <f>[1]Delta!C5</f>
        <v>24997897.433470652</v>
      </c>
      <c r="D5">
        <f>[1]Delta!D5</f>
        <v>24945452.765357979</v>
      </c>
      <c r="E5">
        <f>[1]Delta!E5</f>
        <v>23387550.567453299</v>
      </c>
      <c r="F5">
        <f>[1]Delta!F5</f>
        <v>21514617.014406819</v>
      </c>
      <c r="G5">
        <f>[1]Delta!G5</f>
        <v>18571597.235530429</v>
      </c>
      <c r="H5">
        <f>[1]Delta!H5</f>
        <v>14732415.55023429</v>
      </c>
      <c r="I5">
        <f>[1]Delta!I5</f>
        <v>10552478.90166356</v>
      </c>
      <c r="J5">
        <f>[1]Delta!J5</f>
        <v>1877197.275999889</v>
      </c>
      <c r="K5">
        <f>[1]Delta!K5</f>
        <v>307521.11099673068</v>
      </c>
      <c r="L5">
        <f>[1]Delta!L5</f>
        <v>7469.3561732841472</v>
      </c>
    </row>
    <row r="6" spans="1:12" x14ac:dyDescent="0.25">
      <c r="A6" t="str">
        <f>[1]Delta!A6</f>
        <v>USD/MXN-Call-Sell</v>
      </c>
      <c r="B6">
        <f>[1]Delta!B6</f>
        <v>-4.143494715130001</v>
      </c>
      <c r="C6">
        <f>[1]Delta!C6</f>
        <v>-2943.5931410921798</v>
      </c>
      <c r="D6">
        <f>[1]Delta!D6</f>
        <v>-76366.128498820952</v>
      </c>
      <c r="E6">
        <f>[1]Delta!E6</f>
        <v>-2257429.2055653771</v>
      </c>
      <c r="F6">
        <f>[1]Delta!F6</f>
        <v>-4879536.1798304478</v>
      </c>
      <c r="G6">
        <f>[1]Delta!G6</f>
        <v>-8999763.8702573981</v>
      </c>
      <c r="H6">
        <f>[1]Delta!H6</f>
        <v>-14374618.22967199</v>
      </c>
      <c r="I6">
        <f>[1]Delta!I6</f>
        <v>-20226529.537671018</v>
      </c>
      <c r="J6">
        <f>[1]Delta!J6</f>
        <v>-32371923.81360016</v>
      </c>
      <c r="K6">
        <f>[1]Delta!K6</f>
        <v>-34569470.444604583</v>
      </c>
      <c r="L6">
        <f>[1]Delta!L6</f>
        <v>-34989542.901357397</v>
      </c>
    </row>
    <row r="7" spans="1:12" x14ac:dyDescent="0.25">
      <c r="A7" t="str">
        <f>[1]Delta!A7</f>
        <v>USD/MXN-Put-Sell</v>
      </c>
      <c r="B7">
        <f>[1]Delta!B7</f>
        <v>44999994.672649652</v>
      </c>
      <c r="C7">
        <f>[1]Delta!C7</f>
        <v>44996215.380247168</v>
      </c>
      <c r="D7">
        <f>[1]Delta!D7</f>
        <v>44901814.977644369</v>
      </c>
      <c r="E7">
        <f>[1]Delta!E7</f>
        <v>42097591.021415941</v>
      </c>
      <c r="F7">
        <f>[1]Delta!F7</f>
        <v>38726310.625932284</v>
      </c>
      <c r="G7">
        <f>[1]Delta!G7</f>
        <v>33428875.023954771</v>
      </c>
      <c r="H7">
        <f>[1]Delta!H7</f>
        <v>26518347.99042172</v>
      </c>
      <c r="I7">
        <f>[1]Delta!I7</f>
        <v>18994462.02299441</v>
      </c>
      <c r="J7">
        <f>[1]Delta!J7</f>
        <v>3378955.0967998011</v>
      </c>
      <c r="K7">
        <f>[1]Delta!K7</f>
        <v>553537.99979411531</v>
      </c>
      <c r="L7">
        <f>[1]Delta!L7</f>
        <v>13444.841111911461</v>
      </c>
    </row>
    <row r="8" spans="1:12" x14ac:dyDescent="0.25">
      <c r="A8" t="str">
        <f>[1]Delta!A8</f>
        <v>USD/MXN-Put-Sell</v>
      </c>
      <c r="B8">
        <f>[1]Delta!B8</f>
        <v>11999998.57937324</v>
      </c>
      <c r="C8">
        <f>[1]Delta!C8</f>
        <v>11998990.768065911</v>
      </c>
      <c r="D8">
        <f>[1]Delta!D8</f>
        <v>11973817.32737183</v>
      </c>
      <c r="E8">
        <f>[1]Delta!E8</f>
        <v>11226024.27237759</v>
      </c>
      <c r="F8">
        <f>[1]Delta!F8</f>
        <v>10327016.166915281</v>
      </c>
      <c r="G8">
        <f>[1]Delta!G8</f>
        <v>8914366.6730546057</v>
      </c>
      <c r="H8">
        <f>[1]Delta!H8</f>
        <v>7071559.4641124597</v>
      </c>
      <c r="I8">
        <f>[1]Delta!I8</f>
        <v>5065189.872798508</v>
      </c>
      <c r="J8">
        <f>[1]Delta!J8</f>
        <v>901054.692479947</v>
      </c>
      <c r="K8">
        <f>[1]Delta!K8</f>
        <v>147610.13327843079</v>
      </c>
      <c r="L8">
        <f>[1]Delta!L8</f>
        <v>3585.290963176391</v>
      </c>
    </row>
    <row r="9" spans="1:12" x14ac:dyDescent="0.25">
      <c r="A9" t="str">
        <f>[1]Delta!A9</f>
        <v>USD/MXN-Put-Sell</v>
      </c>
      <c r="B9">
        <f>[1]Delta!B9</f>
        <v>20428569.010123469</v>
      </c>
      <c r="C9">
        <f>[1]Delta!C9</f>
        <v>20426853.331350271</v>
      </c>
      <c r="D9">
        <f>[1]Delta!D9</f>
        <v>20383998.545406781</v>
      </c>
      <c r="E9">
        <f>[1]Delta!E9</f>
        <v>19110969.892261811</v>
      </c>
      <c r="F9">
        <f>[1]Delta!F9</f>
        <v>17580515.617486689</v>
      </c>
      <c r="G9">
        <f>[1]Delta!G9</f>
        <v>15175648.0267477</v>
      </c>
      <c r="H9">
        <f>[1]Delta!H9</f>
        <v>12038488.135334291</v>
      </c>
      <c r="I9">
        <f>[1]Delta!I9</f>
        <v>8622882.7596450672</v>
      </c>
      <c r="J9">
        <f>[1]Delta!J9</f>
        <v>1533938.345531336</v>
      </c>
      <c r="K9">
        <f>[1]Delta!K9</f>
        <v>251288.67927161389</v>
      </c>
      <c r="L9">
        <f>[1]Delta!L9</f>
        <v>6103.5310444550378</v>
      </c>
    </row>
    <row r="10" spans="1:12" x14ac:dyDescent="0.25">
      <c r="A10" t="str">
        <f>[1]Delta!A10</f>
        <v>USD/MXN-Call-Sell</v>
      </c>
      <c r="B10">
        <f>[1]Delta!B10</f>
        <v>-2.105571804219124</v>
      </c>
      <c r="C10">
        <f>[1]Delta!C10</f>
        <v>-1495.8259023101091</v>
      </c>
      <c r="D10">
        <f>[1]Delta!D10</f>
        <v>-38806.461216747819</v>
      </c>
      <c r="E10">
        <f>[1]Delta!E10</f>
        <v>-1147142.596297509</v>
      </c>
      <c r="F10">
        <f>[1]Delta!F10</f>
        <v>-2479601.038322005</v>
      </c>
      <c r="G10">
        <f>[1]Delta!G10</f>
        <v>-4573349.3952940693</v>
      </c>
      <c r="H10">
        <f>[1]Delta!H10</f>
        <v>-7304652.9371190388</v>
      </c>
      <c r="I10">
        <f>[1]Delta!I10</f>
        <v>-10278379.29567365</v>
      </c>
      <c r="J10">
        <f>[1]Delta!J10</f>
        <v>-16450222.50936009</v>
      </c>
      <c r="K10">
        <f>[1]Delta!K10</f>
        <v>-17566934.981033769</v>
      </c>
      <c r="L10">
        <f>[1]Delta!L10</f>
        <v>-17780400.372322451</v>
      </c>
    </row>
    <row r="11" spans="1:12" x14ac:dyDescent="0.25">
      <c r="A11" t="str">
        <f>[1]Delta!A11</f>
        <v>USD/MXN-Put-Sell</v>
      </c>
      <c r="B11">
        <f>[1]Delta!B11</f>
        <v>15142855.350161429</v>
      </c>
      <c r="C11">
        <f>[1]Delta!C11</f>
        <v>15141583.588273611</v>
      </c>
      <c r="D11">
        <f>[1]Delta!D11</f>
        <v>15109817.10358822</v>
      </c>
      <c r="E11">
        <f>[1]Delta!E11</f>
        <v>14166173.486571681</v>
      </c>
      <c r="F11">
        <f>[1]Delta!F11</f>
        <v>13031710.877297809</v>
      </c>
      <c r="G11">
        <f>[1]Delta!G11</f>
        <v>11249081.75409269</v>
      </c>
      <c r="H11">
        <f>[1]Delta!H11</f>
        <v>8923634.561856173</v>
      </c>
      <c r="I11">
        <f>[1]Delta!I11</f>
        <v>6391787.2204361949</v>
      </c>
      <c r="J11">
        <f>[1]Delta!J11</f>
        <v>1137045.207177073</v>
      </c>
      <c r="K11">
        <f>[1]Delta!K11</f>
        <v>186269.93008944779</v>
      </c>
      <c r="L11">
        <f>[1]Delta!L11</f>
        <v>4524.295739246385</v>
      </c>
    </row>
    <row r="12" spans="1:12" x14ac:dyDescent="0.25">
      <c r="A12" t="str">
        <f>[1]Delta!A12</f>
        <v>USD/MXN-Put-Sell</v>
      </c>
      <c r="B12">
        <f>[1]Delta!B12</f>
        <v>12499998.52018046</v>
      </c>
      <c r="C12">
        <f>[1]Delta!C12</f>
        <v>12498948.71673532</v>
      </c>
      <c r="D12">
        <f>[1]Delta!D12</f>
        <v>12472726.382678989</v>
      </c>
      <c r="E12">
        <f>[1]Delta!E12</f>
        <v>11693775.283726649</v>
      </c>
      <c r="F12">
        <f>[1]Delta!F12</f>
        <v>10757308.507203409</v>
      </c>
      <c r="G12">
        <f>[1]Delta!G12</f>
        <v>9285798.6177652143</v>
      </c>
      <c r="H12">
        <f>[1]Delta!H12</f>
        <v>7366207.7751171449</v>
      </c>
      <c r="I12">
        <f>[1]Delta!I12</f>
        <v>5276239.4508317793</v>
      </c>
      <c r="J12">
        <f>[1]Delta!J12</f>
        <v>938598.63799994474</v>
      </c>
      <c r="K12">
        <f>[1]Delta!K12</f>
        <v>153760.5554983654</v>
      </c>
      <c r="L12">
        <f>[1]Delta!L12</f>
        <v>3734.678086642074</v>
      </c>
    </row>
    <row r="13" spans="1:12" x14ac:dyDescent="0.25">
      <c r="A13" t="str">
        <f>[1]Delta!A13</f>
        <v>USD/MXN-Put-Sell</v>
      </c>
      <c r="B13">
        <f>[1]Delta!B13</f>
        <v>9857141.6901994217</v>
      </c>
      <c r="C13">
        <f>[1]Delta!C13</f>
        <v>9856313.8451969717</v>
      </c>
      <c r="D13">
        <f>[1]Delta!D13</f>
        <v>9835635.6617696919</v>
      </c>
      <c r="E13">
        <f>[1]Delta!E13</f>
        <v>9221377.0808815621</v>
      </c>
      <c r="F13">
        <f>[1]Delta!F13</f>
        <v>8482906.1371089518</v>
      </c>
      <c r="G13">
        <f>[1]Delta!G13</f>
        <v>7322515.4814376924</v>
      </c>
      <c r="H13">
        <f>[1]Delta!H13</f>
        <v>5808780.9883780759</v>
      </c>
      <c r="I13">
        <f>[1]Delta!I13</f>
        <v>4160691.6812273348</v>
      </c>
      <c r="J13">
        <f>[1]Delta!J13</f>
        <v>740152.06882281159</v>
      </c>
      <c r="K13">
        <f>[1]Delta!K13</f>
        <v>121251.18090728211</v>
      </c>
      <c r="L13">
        <f>[1]Delta!L13</f>
        <v>2945.0604340377408</v>
      </c>
    </row>
    <row r="14" spans="1:12" x14ac:dyDescent="0.25">
      <c r="A14" t="str">
        <f>[1]Delta!A14</f>
        <v>USD/MXN-Put-Sell</v>
      </c>
      <c r="B14">
        <f>[1]Delta!B14</f>
        <v>7214284.8602184523</v>
      </c>
      <c r="C14">
        <f>[1]Delta!C14</f>
        <v>7213678.9736586884</v>
      </c>
      <c r="D14">
        <f>[1]Delta!D14</f>
        <v>7198544.9408604624</v>
      </c>
      <c r="E14">
        <f>[1]Delta!E14</f>
        <v>6748978.8780365391</v>
      </c>
      <c r="F14">
        <f>[1]Delta!F14</f>
        <v>6208503.7670145538</v>
      </c>
      <c r="G14">
        <f>[1]Delta!G14</f>
        <v>5359232.3451102218</v>
      </c>
      <c r="H14">
        <f>[1]Delta!H14</f>
        <v>4251354.2016390478</v>
      </c>
      <c r="I14">
        <f>[1]Delta!I14</f>
        <v>3045143.9116229201</v>
      </c>
      <c r="J14">
        <f>[1]Delta!J14</f>
        <v>541705.49964568357</v>
      </c>
      <c r="K14">
        <f>[1]Delta!K14</f>
        <v>88741.80631619964</v>
      </c>
      <c r="L14">
        <f>[1]Delta!L14</f>
        <v>2155.4427814334299</v>
      </c>
    </row>
    <row r="15" spans="1:12" x14ac:dyDescent="0.25">
      <c r="A15" t="str">
        <f>[1]Delta!A15</f>
        <v>USD/MXN-Put-Sell</v>
      </c>
      <c r="B15">
        <f>[1]Delta!B15</f>
        <v>4571428.0302373832</v>
      </c>
      <c r="C15">
        <f>[1]Delta!C15</f>
        <v>4571044.1021203054</v>
      </c>
      <c r="D15">
        <f>[1]Delta!D15</f>
        <v>4561454.2199511323</v>
      </c>
      <c r="E15">
        <f>[1]Delta!E15</f>
        <v>4276580.675191422</v>
      </c>
      <c r="F15">
        <f>[1]Delta!F15</f>
        <v>3934101.3969200691</v>
      </c>
      <c r="G15">
        <f>[1]Delta!G15</f>
        <v>3395949.2087826761</v>
      </c>
      <c r="H15">
        <f>[1]Delta!H15</f>
        <v>2693927.4148999602</v>
      </c>
      <c r="I15">
        <f>[1]Delta!I15</f>
        <v>1929596.1420184621</v>
      </c>
      <c r="J15">
        <f>[1]Delta!J15</f>
        <v>343258.93046854809</v>
      </c>
      <c r="K15">
        <f>[1]Delta!K15</f>
        <v>56232.431725115966</v>
      </c>
      <c r="L15">
        <f>[1]Delta!L15</f>
        <v>1365.825128829089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09AE4-E396-48BD-A862-94C769D144B3}">
  <sheetPr codeName="Planilha2"/>
  <dimension ref="A1:E3"/>
  <sheetViews>
    <sheetView workbookViewId="0">
      <selection activeCell="C18" sqref="C18"/>
    </sheetView>
  </sheetViews>
  <sheetFormatPr defaultRowHeight="15" x14ac:dyDescent="0.25"/>
  <sheetData>
    <row r="1" spans="1:5" x14ac:dyDescent="0.25">
      <c r="A1" t="s">
        <v>5</v>
      </c>
      <c r="C1" t="s">
        <v>7</v>
      </c>
      <c r="E1" t="s">
        <v>11</v>
      </c>
    </row>
    <row r="2" spans="1:5" x14ac:dyDescent="0.25">
      <c r="A2" t="s">
        <v>6</v>
      </c>
      <c r="C2" t="s">
        <v>8</v>
      </c>
      <c r="E2">
        <v>1</v>
      </c>
    </row>
    <row r="3" spans="1:5" x14ac:dyDescent="0.25">
      <c r="A3" t="s">
        <v>0</v>
      </c>
      <c r="C3" t="s">
        <v>9</v>
      </c>
      <c r="E3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book</vt:lpstr>
      <vt:lpstr>Gamma</vt:lpstr>
      <vt:lpstr>Delta</vt:lpstr>
      <vt:lpstr>dic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leandro padulla</cp:lastModifiedBy>
  <dcterms:created xsi:type="dcterms:W3CDTF">2021-04-20T00:29:05Z</dcterms:created>
  <dcterms:modified xsi:type="dcterms:W3CDTF">2021-04-27T15:34:32Z</dcterms:modified>
</cp:coreProperties>
</file>